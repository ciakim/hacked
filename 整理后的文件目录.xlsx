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385" windowHeight="8970"/>
  </bookViews>
  <sheets>
    <sheet name="Q-01号文件盒（进度款）" sheetId="7" r:id="rId1"/>
    <sheet name="Q-03现场经济签证单" sheetId="9" r:id="rId2"/>
    <sheet name="变更资料" sheetId="6" r:id="rId3"/>
    <sheet name="G-01号甲方、政府下发文件" sheetId="1" r:id="rId4"/>
    <sheet name="G-02号文件盒报告单及回复单" sheetId="2" r:id="rId5"/>
    <sheet name="G-03号文件盒（合同文件）" sheetId="34" r:id="rId6"/>
    <sheet name="招投标文件" sheetId="35" r:id="rId7"/>
    <sheet name="G-004号文件盒（施工月报）" sheetId="14" r:id="rId8"/>
    <sheet name="G-005号文件盒（施工周进度计划资料）" sheetId="13" r:id="rId9"/>
    <sheet name="G-07监理会议纪要" sheetId="4" r:id="rId10"/>
    <sheet name="G-08号文件盒(监理通知）" sheetId="5" r:id="rId11"/>
    <sheet name="G-10号文件盒应急预案" sheetId="8" r:id="rId12"/>
    <sheet name="J-1号文件盒开工资料李均碧拿走" sheetId="12" r:id="rId13"/>
    <sheet name="J-2号文件盒 分部工程开工资料" sheetId="32" r:id="rId14"/>
    <sheet name="J-05图纸会审纪要" sheetId="36" r:id="rId15"/>
    <sheet name="J-07号文件盒设计单位来文（设计修改通知单）" sheetId="3" r:id="rId16"/>
    <sheet name="J-06复测资料" sheetId="10" r:id="rId17"/>
    <sheet name="J-03号文件盒 （检测公司资质及配合比报告）" sheetId="11" r:id="rId18"/>
    <sheet name="岩头上隧洞资料" sheetId="15" r:id="rId19"/>
    <sheet name="新房子隧洞" sheetId="17" r:id="rId20"/>
    <sheet name="大坪头A隧洞" sheetId="16" r:id="rId21"/>
    <sheet name="大坪头B隧洞 " sheetId="18" r:id="rId22"/>
    <sheet name="童家崖隧洞" sheetId="19" r:id="rId23"/>
    <sheet name="扇子坝隧洞" sheetId="20" r:id="rId24"/>
    <sheet name="陶田铺隧洞" sheetId="21" r:id="rId25"/>
    <sheet name="冷杉湾隧洞" sheetId="22" r:id="rId26"/>
    <sheet name="荒坡隧洞" sheetId="26" r:id="rId27"/>
    <sheet name="J-10狗颈子1#隧洞工序资料" sheetId="23" r:id="rId28"/>
    <sheet name="J-11狗颈子2#隧洞工序资料" sheetId="24" r:id="rId29"/>
    <sheet name="兔儿苞隧洞" sheetId="27" r:id="rId30"/>
    <sheet name="杜家村隧洞" sheetId="28" r:id="rId31"/>
    <sheet name="岩头上弃渣场资料" sheetId="25" r:id="rId32"/>
    <sheet name="水工Ⅰ明暗渠" sheetId="29" r:id="rId33"/>
    <sheet name="水工Ⅱ明暗渠" sheetId="30" r:id="rId34"/>
    <sheet name="水工Ⅲ明暗渠" sheetId="31" r:id="rId35"/>
    <sheet name="G-10号文件盒应急预案 (2)" sheetId="33" r:id="rId36"/>
    <sheet name="朱家沟倒虹管" sheetId="38" r:id="rId37"/>
    <sheet name="Sheet1" sheetId="37" r:id="rId38"/>
  </sheets>
  <definedNames>
    <definedName name="_xlnm.Print_Area" localSheetId="3">'G-01号甲方、政府下发文件'!$A$61:$J$83</definedName>
    <definedName name="_xlnm._FilterDatabase" localSheetId="4" hidden="1">'G-02号文件盒报告单及回复单'!$A$1:$I$100</definedName>
    <definedName name="_xlnm.Print_Titles" localSheetId="9">'G-07监理会议纪要'!$1:$2</definedName>
    <definedName name="_xlnm.Print_Area" localSheetId="9">'G-07监理会议纪要'!$A$49:$J$62</definedName>
    <definedName name="_xlnm.Print_Titles" localSheetId="10">'G-08号文件盒(监理通知）'!$1:$2</definedName>
    <definedName name="_xlnm.Print_Titles" localSheetId="17">'J-03号文件盒 （检测公司资质及配合比报告）'!$1:$2</definedName>
    <definedName name="_xlnm.Print_Titles" localSheetId="12">'J-1号文件盒开工资料李均碧拿走'!$1:$2</definedName>
    <definedName name="_xlnm.Print_Titles" localSheetId="8">'G-005号文件盒（施工周进度计划资料）'!$1:$2</definedName>
    <definedName name="_xlnm.Print_Area" localSheetId="8">'G-005号文件盒（施工周进度计划资料）'!$A$21:$J$36</definedName>
    <definedName name="_xlnm.Print_Area" localSheetId="7">'G-004号文件盒（施工月报）'!$A$9:$K$22</definedName>
    <definedName name="_xlnm.Print_Titles" localSheetId="13">'J-2号文件盒 分部工程开工资料'!$1:$2</definedName>
  </definedNames>
  <calcPr calcId="144525"/>
</workbook>
</file>

<file path=xl/sharedStrings.xml><?xml version="1.0" encoding="utf-8"?>
<sst xmlns="http://schemas.openxmlformats.org/spreadsheetml/2006/main" count="1856">
  <si>
    <t>武德干渠文件目录Q-01号文件盒</t>
  </si>
  <si>
    <t>序号</t>
  </si>
  <si>
    <t>文件名称</t>
  </si>
  <si>
    <t>编号</t>
  </si>
  <si>
    <t>份数</t>
  </si>
  <si>
    <t xml:space="preserve">发文单位 </t>
  </si>
  <si>
    <t>接收单位</t>
  </si>
  <si>
    <t>接收人
签字</t>
  </si>
  <si>
    <t>收到日期</t>
  </si>
  <si>
    <t>申报金额（元）</t>
  </si>
  <si>
    <t>批复金额（元）</t>
  </si>
  <si>
    <t>支付金额（元）</t>
  </si>
  <si>
    <t>备注</t>
  </si>
  <si>
    <t>2016年04月进度款</t>
  </si>
  <si>
    <t>【2016】001</t>
  </si>
  <si>
    <t>四川省城市建设监理武德干渠项目部</t>
  </si>
  <si>
    <t>君源公司武德干渠项目部</t>
  </si>
  <si>
    <t>王兴春</t>
  </si>
  <si>
    <t>2016.07.09</t>
  </si>
  <si>
    <t>关于武德干渠工程建设情况的进展报告（筠水投【2016】98号）、 关于拨付后沟水库武德干渠工程建设进度款的请示（筠水投【2016】99号）-水务局、关于拨付后沟水库武德干渠工程建设进度款的请示（筠水投【2016】100号）-财务局、关于筠连县后沟水库进度款审核意见（川华慧【2016】月付05号）、工程款支付证书（监理【2016】进度付001号）、工程款月支付申请书（四川君源【2016】04月付01号）</t>
  </si>
  <si>
    <t>2016年05月进度款</t>
  </si>
  <si>
    <t>【2016】002</t>
  </si>
  <si>
    <t>严梅</t>
  </si>
  <si>
    <t>2016年06月进度款</t>
  </si>
  <si>
    <t>【2016】003</t>
  </si>
  <si>
    <t>2016年08月进度款</t>
  </si>
  <si>
    <t>【2016】004</t>
  </si>
  <si>
    <t>2016年10月进度款</t>
  </si>
  <si>
    <t>【2016】005</t>
  </si>
  <si>
    <t>杨强</t>
  </si>
  <si>
    <t>2016年12月进度款</t>
  </si>
  <si>
    <t>【2016】006</t>
  </si>
  <si>
    <t>王君</t>
  </si>
  <si>
    <t>2017年5月进度款</t>
  </si>
  <si>
    <t>【2017】001</t>
  </si>
  <si>
    <t>暂扣款</t>
  </si>
  <si>
    <t>【2017】002</t>
  </si>
  <si>
    <t>2017年8月进度款</t>
  </si>
  <si>
    <t>【2017】003</t>
  </si>
  <si>
    <t>2017年9月进度款</t>
  </si>
  <si>
    <t>【2017】004</t>
  </si>
  <si>
    <t>2017年10月进度款</t>
  </si>
  <si>
    <t>【2017】005</t>
  </si>
  <si>
    <t>2017年11月进度款</t>
  </si>
  <si>
    <t>【2017】006</t>
  </si>
  <si>
    <t>2017年12月进度款</t>
  </si>
  <si>
    <t>【2017】007</t>
  </si>
  <si>
    <t>2018年1月进度款</t>
  </si>
  <si>
    <t xml:space="preserve"> </t>
  </si>
  <si>
    <t>2018年2月进度款及跟审报告</t>
  </si>
  <si>
    <t>2018年3月进度款及跟审报告</t>
  </si>
  <si>
    <t>2018年4月进度款</t>
  </si>
  <si>
    <t>2018年8月进度款及跟审报告</t>
  </si>
  <si>
    <t>合计</t>
  </si>
  <si>
    <t>现场经济签证单</t>
  </si>
  <si>
    <t>签证部位或内容</t>
  </si>
  <si>
    <t>工程量</t>
  </si>
  <si>
    <t>收文日期</t>
  </si>
  <si>
    <t>发件人
（武德干渠项目部）</t>
  </si>
  <si>
    <t>收件人
（武德干渠监理部）</t>
  </si>
  <si>
    <t>报送日期</t>
  </si>
  <si>
    <t>返回日期</t>
  </si>
  <si>
    <t>土方（m3)</t>
  </si>
  <si>
    <t>石方(m3)</t>
  </si>
  <si>
    <t>浆砌块石m3</t>
  </si>
  <si>
    <t>其他</t>
  </si>
  <si>
    <t>原岩头上隧洞出口</t>
  </si>
  <si>
    <r>
      <rPr>
        <sz val="12"/>
        <rFont val="宋体"/>
        <charset val="134"/>
      </rPr>
      <t>0</t>
    </r>
    <r>
      <rPr>
        <sz val="12"/>
        <rFont val="宋体"/>
        <charset val="134"/>
      </rPr>
      <t>01</t>
    </r>
  </si>
  <si>
    <t>2015.8.6</t>
  </si>
  <si>
    <t>监理已签字甲方未签字</t>
  </si>
  <si>
    <t>狗颈子1#~2#隧洞沟渠段</t>
  </si>
  <si>
    <r>
      <rPr>
        <sz val="12"/>
        <rFont val="宋体"/>
        <charset val="134"/>
      </rPr>
      <t>002</t>
    </r>
  </si>
  <si>
    <t>2015.10.13</t>
  </si>
  <si>
    <t>狗颈子2#隧洞进口洞脸</t>
  </si>
  <si>
    <r>
      <rPr>
        <sz val="12"/>
        <rFont val="宋体"/>
        <charset val="134"/>
      </rPr>
      <t>003</t>
    </r>
  </si>
  <si>
    <t>原兔儿苞隧洞进口施工场地</t>
  </si>
  <si>
    <r>
      <rPr>
        <sz val="12"/>
        <rFont val="宋体"/>
        <charset val="134"/>
      </rPr>
      <t>004</t>
    </r>
  </si>
  <si>
    <r>
      <rPr>
        <sz val="12"/>
        <rFont val="宋体"/>
        <charset val="134"/>
      </rPr>
      <t>2</t>
    </r>
    <r>
      <rPr>
        <sz val="12"/>
        <rFont val="宋体"/>
        <charset val="134"/>
      </rPr>
      <t>016.4.11</t>
    </r>
  </si>
  <si>
    <t>原兔儿苞隧洞进口洞门</t>
  </si>
  <si>
    <r>
      <rPr>
        <sz val="12"/>
        <rFont val="宋体"/>
        <charset val="134"/>
      </rPr>
      <t>005</t>
    </r>
  </si>
  <si>
    <t>2016.4.11</t>
  </si>
  <si>
    <t>原冷杉湾隧洞进口洞门</t>
  </si>
  <si>
    <r>
      <rPr>
        <sz val="12"/>
        <rFont val="宋体"/>
        <charset val="134"/>
      </rPr>
      <t>006</t>
    </r>
  </si>
  <si>
    <t>原冷杉湾隧洞进口废弃施工道路</t>
  </si>
  <si>
    <r>
      <rPr>
        <sz val="12"/>
        <rFont val="宋体"/>
        <charset val="134"/>
      </rPr>
      <t>007</t>
    </r>
  </si>
  <si>
    <t>岩头上弃渣场</t>
  </si>
  <si>
    <t>008-1</t>
  </si>
  <si>
    <t>砂石水泥等材料及机械</t>
  </si>
  <si>
    <r>
      <rPr>
        <sz val="12"/>
        <rFont val="宋体"/>
        <charset val="134"/>
      </rPr>
      <t>2</t>
    </r>
    <r>
      <rPr>
        <sz val="12"/>
        <rFont val="宋体"/>
        <charset val="134"/>
      </rPr>
      <t>016.6.14</t>
    </r>
  </si>
  <si>
    <t>008-2</t>
  </si>
  <si>
    <t>2016.8.20</t>
  </si>
  <si>
    <r>
      <rPr>
        <sz val="12"/>
        <rFont val="宋体"/>
        <charset val="134"/>
      </rPr>
      <t>渠线K</t>
    </r>
    <r>
      <rPr>
        <sz val="12"/>
        <rFont val="宋体"/>
        <charset val="134"/>
      </rPr>
      <t>13+150~K13+193.4</t>
    </r>
  </si>
  <si>
    <r>
      <rPr>
        <sz val="12"/>
        <rFont val="宋体"/>
        <charset val="134"/>
      </rPr>
      <t>009</t>
    </r>
  </si>
  <si>
    <r>
      <rPr>
        <sz val="12"/>
        <rFont val="宋体"/>
        <charset val="134"/>
      </rPr>
      <t>2</t>
    </r>
    <r>
      <rPr>
        <sz val="12"/>
        <rFont val="宋体"/>
        <charset val="134"/>
      </rPr>
      <t>016.9.26</t>
    </r>
  </si>
  <si>
    <t>甲方监理未签字未留底</t>
  </si>
  <si>
    <t>签字盖章完成</t>
  </si>
  <si>
    <t>汤水岩危岩处理</t>
  </si>
  <si>
    <t>2017.7.25</t>
  </si>
  <si>
    <t>签字盖章OK</t>
  </si>
  <si>
    <t>修复水管费用</t>
  </si>
  <si>
    <t>4655元</t>
  </si>
  <si>
    <t>陶田铺隧洞出口至荒坡隧洞进口段明渠内外浆砌块石支挡</t>
  </si>
  <si>
    <t>汤水岩涵洞挡墙</t>
  </si>
  <si>
    <t>狗颈子2#隧洞出口至兔儿苞隧洞进口段浆砌块石支挡</t>
  </si>
  <si>
    <t>汤水岩抗洪抢险</t>
  </si>
  <si>
    <t>挖机一台、拖车一台、安全人员两名，四个小时</t>
  </si>
  <si>
    <t>汤水岩危岩护脚</t>
  </si>
  <si>
    <t>110PVC：58.17M</t>
  </si>
  <si>
    <t>2017.9.11</t>
  </si>
  <si>
    <t>水工ⅠK2+703.66~K2+765.578</t>
  </si>
  <si>
    <t>渠线K13+150~K13+193.4</t>
  </si>
  <si>
    <t>水工ⅡK8+969塌方清理</t>
  </si>
  <si>
    <t>水工ⅡK10+054~K10+079塌方清理</t>
  </si>
  <si>
    <t>水工ⅡK9+923塌方清理</t>
  </si>
  <si>
    <t>水工ⅡK8+845塌方清理</t>
  </si>
  <si>
    <t>水工ⅡK8+667塌方清理</t>
  </si>
  <si>
    <t>水工ⅡK9+284.9~K9+304.4塌方清理</t>
  </si>
  <si>
    <t>水工ⅡK9+322.3~K9+333.6塌方清理</t>
  </si>
  <si>
    <t>水工ⅠK6+407塌方清理</t>
  </si>
  <si>
    <t>水工ⅠK0+000塌方清理</t>
  </si>
  <si>
    <t>水工ⅡK8+880~K8+915塌方清理</t>
  </si>
  <si>
    <t>原设计岩头上隧洞出口洞脸</t>
  </si>
  <si>
    <t>水工ⅢK13+365.5~K13+480明渠浆砌块石</t>
  </si>
  <si>
    <t>冷杉湾隧洞出口至荒坡隧洞进口段明渠浆砌块石</t>
  </si>
  <si>
    <t>水工ⅢK15+417.35~K15+477.18明渠浆砌块石</t>
  </si>
  <si>
    <t>水工ⅢK18+778~K18+838汤水岩</t>
  </si>
  <si>
    <t>水工ⅠK0+141~K0+155.8明渠内侧支挡</t>
  </si>
  <si>
    <t>2017.11.10</t>
  </si>
  <si>
    <t>水工ⅡK11+775.5~K11+876明渠内侧支挡</t>
  </si>
  <si>
    <t>水工ⅡK9+037~K9+273明渠内侧支挡</t>
  </si>
  <si>
    <t>水工ⅡK10+368~K11+087明渠内侧支挡</t>
  </si>
  <si>
    <t>水工ⅡK13+561.3~K13+795.8明渠内侧支挡</t>
  </si>
  <si>
    <t>朱家沟倒虹管48#镇墩</t>
  </si>
  <si>
    <t>朱家沟倒虹管42#、43#、44#镇墩</t>
  </si>
  <si>
    <t>朱家沟倒虹管25#、31#、32#、33#镇墩</t>
  </si>
  <si>
    <t>水工ⅠK6+201~K6+273.9</t>
  </si>
  <si>
    <t>明渠土石方开挖</t>
  </si>
  <si>
    <t>只签字未盖章</t>
  </si>
  <si>
    <t>变更资料</t>
  </si>
  <si>
    <t>变更审批样本</t>
  </si>
  <si>
    <t>筠连县建设工程项目变更审批表（复印件）、筠连县后沟水库工程建设管理指挥部办公室批办传阅单、筠连县三川水务投资有限责任公司关于对筠连县后沟水库武德干渠工程狗颈子2#隧洞K12+897.1391~K12+947.1391段实施钢支撑变更的指示、筠连县建设工程项目变更审批表（原件、未签字完）变更申请报告（原件）、工程变更建设书、变更项目价格申报表、材料认质认价表（审计、甲方未签字）、狗颈子2#隧洞钢支撑施工方案及报审表</t>
  </si>
  <si>
    <t>2016变更001</t>
  </si>
  <si>
    <t>签字OK</t>
  </si>
  <si>
    <t>陶田铺隧洞变更套表留底（监理签字）</t>
  </si>
  <si>
    <t>2016变更002</t>
  </si>
  <si>
    <t>陶田铺隧洞出口水管改线</t>
  </si>
  <si>
    <t>大坪头B隧洞变更套表留底（监理签字）</t>
  </si>
  <si>
    <t>2016变更003</t>
  </si>
  <si>
    <t>岩头上隧洞出口弃渣场新增工程审批资料</t>
  </si>
  <si>
    <r>
      <rPr>
        <sz val="12"/>
        <rFont val="宋体"/>
        <charset val="134"/>
      </rPr>
      <t>2</t>
    </r>
    <r>
      <rPr>
        <sz val="12"/>
        <rFont val="宋体"/>
        <charset val="134"/>
      </rPr>
      <t>016新增001</t>
    </r>
  </si>
  <si>
    <t>谢平</t>
  </si>
  <si>
    <r>
      <rPr>
        <sz val="12"/>
        <rFont val="宋体"/>
        <charset val="134"/>
      </rPr>
      <t>2</t>
    </r>
    <r>
      <rPr>
        <sz val="12"/>
        <rFont val="宋体"/>
        <charset val="134"/>
      </rPr>
      <t>016\11\16</t>
    </r>
  </si>
  <si>
    <t>退回重做</t>
  </si>
  <si>
    <t>兔儿苞弃渣场所新增工程审批资料</t>
  </si>
  <si>
    <r>
      <rPr>
        <sz val="12"/>
        <rFont val="宋体"/>
        <charset val="134"/>
      </rPr>
      <t>2</t>
    </r>
    <r>
      <rPr>
        <sz val="12"/>
        <rFont val="宋体"/>
        <charset val="134"/>
      </rPr>
      <t>016新增002</t>
    </r>
  </si>
  <si>
    <t>2016\11\16</t>
  </si>
  <si>
    <t>荒坡弃渣场新增工程审批资料</t>
  </si>
  <si>
    <r>
      <rPr>
        <sz val="12"/>
        <rFont val="宋体"/>
        <charset val="134"/>
      </rPr>
      <t>2</t>
    </r>
    <r>
      <rPr>
        <sz val="12"/>
        <rFont val="宋体"/>
        <charset val="134"/>
      </rPr>
      <t>016新增003</t>
    </r>
  </si>
  <si>
    <t>扇子坝弃渣场新增工程审批资料</t>
  </si>
  <si>
    <r>
      <rPr>
        <sz val="12"/>
        <rFont val="宋体"/>
        <charset val="134"/>
      </rPr>
      <t>2</t>
    </r>
    <r>
      <rPr>
        <sz val="12"/>
        <rFont val="宋体"/>
        <charset val="134"/>
      </rPr>
      <t>016新增004</t>
    </r>
  </si>
  <si>
    <t>狗颈子弃渣场所新增工程审批资料</t>
  </si>
  <si>
    <r>
      <rPr>
        <sz val="12"/>
        <rFont val="宋体"/>
        <charset val="134"/>
      </rPr>
      <t>2</t>
    </r>
    <r>
      <rPr>
        <sz val="12"/>
        <rFont val="宋体"/>
        <charset val="134"/>
      </rPr>
      <t>016新增005</t>
    </r>
  </si>
  <si>
    <t>小塝子隧洞进口弃渣场新增工程审批资料</t>
  </si>
  <si>
    <r>
      <rPr>
        <sz val="12"/>
        <rFont val="宋体"/>
        <charset val="134"/>
      </rPr>
      <t>2</t>
    </r>
    <r>
      <rPr>
        <sz val="12"/>
        <rFont val="宋体"/>
        <charset val="134"/>
      </rPr>
      <t>016新增006</t>
    </r>
  </si>
  <si>
    <t>小塝子隧洞出口弃渣场新增工程审批资料</t>
  </si>
  <si>
    <r>
      <rPr>
        <sz val="12"/>
        <rFont val="宋体"/>
        <charset val="134"/>
      </rPr>
      <t>2</t>
    </r>
    <r>
      <rPr>
        <sz val="12"/>
        <rFont val="宋体"/>
        <charset val="134"/>
      </rPr>
      <t>016新增007</t>
    </r>
  </si>
  <si>
    <t>兔儿苞隧洞出口蓄水池新增工程审批资料</t>
  </si>
  <si>
    <t>2016新增008</t>
  </si>
  <si>
    <t>陈茂兴</t>
  </si>
  <si>
    <t>2016\11\29</t>
  </si>
  <si>
    <t>2017年签字完成</t>
  </si>
  <si>
    <t>2017年</t>
  </si>
  <si>
    <t>变更申请报告</t>
  </si>
  <si>
    <t>2017变更001</t>
  </si>
  <si>
    <t>工程材料（设备）认质认价核定表</t>
  </si>
  <si>
    <t>倒虹管认价</t>
  </si>
  <si>
    <t>倒虹管弯头认价</t>
  </si>
  <si>
    <t>2*5</t>
  </si>
  <si>
    <t>2017.8.17</t>
  </si>
  <si>
    <r>
      <rPr>
        <sz val="12"/>
        <rFont val="宋体"/>
        <charset val="134"/>
      </rPr>
      <t>筠连县建设项目工程新增审批表（复印件）、新增申请报告、施工方案及变更项目价格申报表和组价资料－－</t>
    </r>
    <r>
      <rPr>
        <b/>
        <sz val="12"/>
        <rFont val="宋体"/>
        <charset val="134"/>
      </rPr>
      <t>岩头上弃渣场</t>
    </r>
  </si>
  <si>
    <t>2017新增001</t>
  </si>
  <si>
    <t>2017.8.4</t>
  </si>
  <si>
    <r>
      <rPr>
        <sz val="12"/>
        <rFont val="宋体"/>
        <charset val="134"/>
      </rPr>
      <t>筠连县建设项目工程新增审批表（复印件）、新增申请报告、施工方案及变更项目价格申报表和组价资料－－</t>
    </r>
    <r>
      <rPr>
        <b/>
        <sz val="12"/>
        <rFont val="宋体"/>
        <charset val="134"/>
      </rPr>
      <t>大坪头隧洞弃渣场</t>
    </r>
  </si>
  <si>
    <t>2017新增002</t>
  </si>
  <si>
    <r>
      <rPr>
        <sz val="12"/>
        <rFont val="宋体"/>
        <charset val="134"/>
      </rPr>
      <t>筠连县建设项目工程新增审批表（复印件）、新增申请报告、施工方案及变更项目价格申报表和组价资料－－</t>
    </r>
    <r>
      <rPr>
        <b/>
        <sz val="12"/>
        <rFont val="宋体"/>
        <charset val="134"/>
      </rPr>
      <t>大坪头B隧洞弃渣场</t>
    </r>
  </si>
  <si>
    <t>2017新增003</t>
  </si>
  <si>
    <r>
      <rPr>
        <sz val="12"/>
        <rFont val="宋体"/>
        <charset val="134"/>
      </rPr>
      <t>筠连县建设项目工程新增审批表（复印件）、新增申请报告、施工方案及变更项目价格申报表和组价资料－－</t>
    </r>
    <r>
      <rPr>
        <b/>
        <sz val="12"/>
        <rFont val="宋体"/>
        <charset val="134"/>
      </rPr>
      <t>童家崖隧洞弃渣场</t>
    </r>
  </si>
  <si>
    <t>2017新增004</t>
  </si>
  <si>
    <r>
      <rPr>
        <sz val="12"/>
        <rFont val="宋体"/>
        <charset val="134"/>
      </rPr>
      <t>筠连县建设项目工程新增审批表（复印件）、新增申请报告、施工方案及变更项目价格申报表和组价资料－－</t>
    </r>
    <r>
      <rPr>
        <b/>
        <sz val="12"/>
        <rFont val="宋体"/>
        <charset val="134"/>
      </rPr>
      <t>扇子坝隧洞出口弃渣场</t>
    </r>
  </si>
  <si>
    <t>2017新增005</t>
  </si>
  <si>
    <r>
      <rPr>
        <sz val="12"/>
        <rFont val="宋体"/>
        <charset val="134"/>
      </rPr>
      <t>筠连县建设项目工程新增审批表（复印件）、新增申请报告、施工方案及变更项目价格申报表和组价资料－－</t>
    </r>
    <r>
      <rPr>
        <b/>
        <sz val="12"/>
        <rFont val="宋体"/>
        <charset val="134"/>
      </rPr>
      <t>小塝子隧洞出口弃渣场</t>
    </r>
  </si>
  <si>
    <t>2017新增007</t>
  </si>
  <si>
    <r>
      <rPr>
        <sz val="12"/>
        <rFont val="宋体"/>
        <charset val="134"/>
      </rPr>
      <t>筠连县建设项目工程新增审批表（复印件）、新增申请报告、施工方案及变更项目价格申报表和组价资料－－</t>
    </r>
    <r>
      <rPr>
        <b/>
        <sz val="12"/>
        <rFont val="宋体"/>
        <charset val="134"/>
      </rPr>
      <t>陶田铺弃渣场</t>
    </r>
  </si>
  <si>
    <t>2017新增008</t>
  </si>
  <si>
    <r>
      <rPr>
        <sz val="12"/>
        <rFont val="宋体"/>
        <charset val="134"/>
      </rPr>
      <t>筠连县建设项目工程新增审批表（复印件）、新增申请报告、施工方案及变更项目价格申报表和组价资料－－</t>
    </r>
    <r>
      <rPr>
        <b/>
        <sz val="12"/>
        <rFont val="宋体"/>
        <charset val="134"/>
      </rPr>
      <t>荒坡弃渣场</t>
    </r>
  </si>
  <si>
    <t>2017新增010</t>
  </si>
  <si>
    <r>
      <rPr>
        <sz val="12"/>
        <rFont val="宋体"/>
        <charset val="134"/>
      </rPr>
      <t>筠连县建设项目工程新增审批表（复印件）、新增申请报告、施工方案及变更项目价格申报表和组价资料－－</t>
    </r>
    <r>
      <rPr>
        <b/>
        <sz val="12"/>
        <rFont val="宋体"/>
        <charset val="134"/>
      </rPr>
      <t>狗颈子弃渣场</t>
    </r>
  </si>
  <si>
    <t>2017新增011</t>
  </si>
  <si>
    <r>
      <rPr>
        <sz val="12"/>
        <rFont val="宋体"/>
        <charset val="134"/>
      </rPr>
      <t>筠连县建设项目工程新增审批表（复印件）、新增申请报告、施工方案及变更项目价格申报表和组价资料－－</t>
    </r>
    <r>
      <rPr>
        <b/>
        <sz val="12"/>
        <rFont val="宋体"/>
        <charset val="134"/>
      </rPr>
      <t>兔儿苞弃渣场</t>
    </r>
  </si>
  <si>
    <t>2017新增012</t>
  </si>
  <si>
    <r>
      <rPr>
        <sz val="12"/>
        <rFont val="宋体"/>
        <charset val="134"/>
      </rPr>
      <t>筠连县建设项目工程新增审批表（复印件）、新增申请报告、施工方案及变更项目价格申报表和组价资料－－</t>
    </r>
    <r>
      <rPr>
        <b/>
        <sz val="12"/>
        <rFont val="宋体"/>
        <charset val="134"/>
      </rPr>
      <t>杜家村隧洞弃渣场</t>
    </r>
  </si>
  <si>
    <t>2017新增013</t>
  </si>
  <si>
    <r>
      <rPr>
        <sz val="12"/>
        <rFont val="宋体"/>
        <charset val="134"/>
      </rPr>
      <t>筠连县建设项目工程新增审批表（复印件）、新增申请报告、施工方案及变更项目价格申报表和组价资料－－</t>
    </r>
    <r>
      <rPr>
        <b/>
        <sz val="12"/>
        <rFont val="宋体"/>
        <charset val="134"/>
      </rPr>
      <t>汤水岩危岩处理</t>
    </r>
  </si>
  <si>
    <t>2017变更014</t>
  </si>
  <si>
    <t>2017.8.23</t>
  </si>
  <si>
    <r>
      <rPr>
        <sz val="12"/>
        <rFont val="宋体"/>
        <charset val="134"/>
      </rPr>
      <t>筠连县建设项目工程新增审批表（复印件）、新增申请报告、施工方案及变更项目价格申报表和组价资料－－</t>
    </r>
    <r>
      <rPr>
        <b/>
        <sz val="12"/>
        <rFont val="宋体"/>
        <charset val="134"/>
      </rPr>
      <t>1808米明渠变暗渠</t>
    </r>
  </si>
  <si>
    <t>2017变更015</t>
  </si>
  <si>
    <r>
      <rPr>
        <sz val="12"/>
        <rFont val="宋体"/>
        <charset val="134"/>
      </rPr>
      <t>筠连县建设项目工程新增审批表（复印件）、新增申请报告、施工方案及变更项目价格申报表和组价资料－－</t>
    </r>
    <r>
      <rPr>
        <b/>
        <sz val="12"/>
        <rFont val="宋体"/>
        <charset val="134"/>
      </rPr>
      <t>陶田铺隧洞出口处理</t>
    </r>
  </si>
  <si>
    <t>2017变更016</t>
  </si>
  <si>
    <t>大坪头隧洞出口弃渣场附近增加蓄水池</t>
  </si>
  <si>
    <t>2017变更017</t>
  </si>
  <si>
    <t>2017.12.8</t>
  </si>
  <si>
    <t>2017变更014号初审意见</t>
  </si>
  <si>
    <t>2017.10.28</t>
  </si>
  <si>
    <t>2017变更015号初审意见</t>
  </si>
  <si>
    <t>水工Ⅰ段明渠变更为暗渠</t>
  </si>
  <si>
    <t>2017变更021</t>
  </si>
  <si>
    <t>2018.1.16</t>
  </si>
  <si>
    <t>零星变更审批</t>
  </si>
  <si>
    <t>2017变更020</t>
  </si>
  <si>
    <t>2018年</t>
  </si>
  <si>
    <t>渠道边坡塌方</t>
  </si>
  <si>
    <t>2018变更002</t>
  </si>
  <si>
    <t>朱家沟倒虹管变更（不包含PCCP管）</t>
  </si>
  <si>
    <t>2018变更003</t>
  </si>
  <si>
    <t>岩头上隧洞</t>
  </si>
  <si>
    <t>2018变更005</t>
  </si>
  <si>
    <t>大坪头B隧洞</t>
  </si>
  <si>
    <t>2018变更006</t>
  </si>
  <si>
    <t>扇子坝隧洞</t>
  </si>
  <si>
    <t>2018变更007</t>
  </si>
  <si>
    <t>陶田铺隧洞</t>
  </si>
  <si>
    <t>2018变更008</t>
  </si>
  <si>
    <t>冷杉湾隧洞</t>
  </si>
  <si>
    <t>2018变更009</t>
  </si>
  <si>
    <t>荒坡隧洞</t>
  </si>
  <si>
    <t>2018变更010</t>
  </si>
  <si>
    <t>狗颈子1#隧洞</t>
  </si>
  <si>
    <t>2018变更011</t>
  </si>
  <si>
    <t>狗颈子2#隧洞</t>
  </si>
  <si>
    <t>2018变更012</t>
  </si>
  <si>
    <t>兔儿苞隧洞</t>
  </si>
  <si>
    <t>2018变更013</t>
  </si>
  <si>
    <t>杜家村隧洞</t>
  </si>
  <si>
    <t>2018变更014</t>
  </si>
  <si>
    <t>暗渠（不含水工1）增加造价</t>
  </si>
  <si>
    <t>2018变更004</t>
  </si>
  <si>
    <t>退回</t>
  </si>
  <si>
    <t>明渠变暗渠（1884.05米变2081.4米）</t>
  </si>
  <si>
    <t>2018变更001</t>
  </si>
  <si>
    <t>武德干渠文件目录G-01号文件盒</t>
  </si>
  <si>
    <t>发件人签字</t>
  </si>
  <si>
    <t>接收日期</t>
  </si>
  <si>
    <t>筠连县政府投资工程标后管理暂行办法</t>
  </si>
  <si>
    <t>筠府办发[2012]43号</t>
  </si>
  <si>
    <t>1份</t>
  </si>
  <si>
    <t>四川省城市建设监理有限公司</t>
  </si>
  <si>
    <t>四川省君源水电建设有限公司项目部</t>
  </si>
  <si>
    <t>借走</t>
  </si>
  <si>
    <t>筠连县三川水务投资有限责任公司关于加强工程建设施工质量管理的通知</t>
  </si>
  <si>
    <t>筠水投发[2014]82号</t>
  </si>
  <si>
    <t>中共宜宾市委办公室、宜宾市人民政府办公室关于加强政府性投资项目公示工作的意见</t>
  </si>
  <si>
    <t>宜委办[2015]1号</t>
  </si>
  <si>
    <t>筠连县三川水务投资有限责任公司后沟水库项目部关于转发《筠连县人民政府安全生产委员会办公室关于转发孙建军局长在省政府常务会会议前学法所做报告的通知》的通知</t>
  </si>
  <si>
    <t>筠连县人民政府安全生产委员会办公室关于转发孙建军局长在省政府常务会会议前学法所做报告的通知</t>
  </si>
  <si>
    <t>筠安办[2015]19号</t>
  </si>
  <si>
    <t>筠连县三川水务投资有限责任公司关于转发《筠连县水务局关于进一步加强我县水利工程质量监督的通知》的通知</t>
  </si>
  <si>
    <t>筠连县水务局关于进一步加强我县水利工程质量监督的通知</t>
  </si>
  <si>
    <t>筠水发[2015]14号</t>
  </si>
  <si>
    <t>筠连县三川水务投资有限责任公司后沟水库项目部工作联系单</t>
  </si>
  <si>
    <t>筠连县三川水务投资有限责任公司关于代收招标代理费的函</t>
  </si>
  <si>
    <t>筠连县水务局水利工程质量监督站关于筠连县后沟水库武德干渠工程项目划分的批复</t>
  </si>
  <si>
    <t>筠水质监发[2015]6号</t>
  </si>
  <si>
    <t>筠连县水土保持委员会办公室关于筠连县后沟水库武德干渠环保水保方案审核意见</t>
  </si>
  <si>
    <t>筠连县水务局水利工程质量监督站 关于后沟水库武德干渠工程质量监督计划</t>
  </si>
  <si>
    <t>宜宾市水务局关于切实加快筠连县后沟水库建设进度的通知</t>
  </si>
  <si>
    <t>宜水函[2015]148号</t>
  </si>
  <si>
    <t>宜宾市水务局关于印发《宜宾市水利建设质量考核办法》的通知</t>
  </si>
  <si>
    <t>宜水函[2015]166号</t>
  </si>
  <si>
    <t>2015.9.10</t>
  </si>
  <si>
    <t>宜宾市水务局关于切实加强在建重点水利工程质量与安全管理工作的通知</t>
  </si>
  <si>
    <t>宜水函[2015]167号</t>
  </si>
  <si>
    <t>议题一（枢纽工程下闸蓄水前需安排落实事项）</t>
  </si>
  <si>
    <t>三川水务公司</t>
  </si>
  <si>
    <t>武德干渠项目部</t>
  </si>
  <si>
    <t>尹刚</t>
  </si>
  <si>
    <t>黄进端</t>
  </si>
  <si>
    <t>2015.12.29</t>
  </si>
  <si>
    <t>议题二（渠系工程需待安排落实事项）</t>
  </si>
  <si>
    <t>武德段砍干渠树木统计表册</t>
  </si>
  <si>
    <t>手抄</t>
  </si>
  <si>
    <t>中国烟草水源工程筠连县后沟水库管理月报（第三十一期）</t>
  </si>
  <si>
    <t>工作联系单</t>
  </si>
  <si>
    <t>2015.9.8</t>
  </si>
  <si>
    <t>工作简报（筠连县后沟水库召开防洪度汛安全工作会议）</t>
  </si>
  <si>
    <t>2015.6.1</t>
  </si>
  <si>
    <t>筠连县三川水务投资有限公司</t>
  </si>
  <si>
    <t>工作简报（后沟书库市级专项督查组来筠开展第五次专项督查工作）</t>
  </si>
  <si>
    <t>后沟水库项目部</t>
  </si>
  <si>
    <t>2015.12.26</t>
  </si>
  <si>
    <t>后沟水库工程建设管理指挥部项目组（扩大）会议纪要</t>
  </si>
  <si>
    <t>2015.3.17</t>
  </si>
  <si>
    <t>筠连县后沟水库工程建设管理指挥部办公室</t>
  </si>
  <si>
    <t>第四期</t>
  </si>
  <si>
    <t>后沟水库工程建设管理指挥部征地拆迁安置组武德干渠工程建设现场查看情况会议纪要</t>
  </si>
  <si>
    <t>第一期2015.9.14</t>
  </si>
  <si>
    <t>后沟水库工程建设管理指挥部项目组武德干渠工程建设现场查看情况会议纪要</t>
  </si>
  <si>
    <t>第一期2015.9.16</t>
  </si>
  <si>
    <t>筠连县后沟水库武德干渠建设工作联系会议纪要（2015.1.23）</t>
  </si>
  <si>
    <t>筠连后沟水库项目部</t>
  </si>
  <si>
    <t>筠连县后沟水库驻场项目部周例会会议纪要</t>
  </si>
  <si>
    <t>第六期2015.3.3</t>
  </si>
  <si>
    <t>武德干渠标段岩头上隧洞弃渣场相关问题会议纪要原件及复印件</t>
  </si>
  <si>
    <t>2015.8.19</t>
  </si>
  <si>
    <t>2015.8.28</t>
  </si>
  <si>
    <t>2016年文件</t>
  </si>
  <si>
    <t>会议纪要（2016.1.5）</t>
  </si>
  <si>
    <t>2016.1.8</t>
  </si>
  <si>
    <t>工作简报（筠连县后沟水库沥青砼心墙保质保量如期填筑至设计高程）</t>
  </si>
  <si>
    <t>第一期</t>
  </si>
  <si>
    <t>后沟水库工程建设管理指挥部指挥长扩大会议</t>
  </si>
  <si>
    <t>第三十一期（2016.1.27）</t>
  </si>
  <si>
    <t>2016.2.25</t>
  </si>
  <si>
    <t>会议纪要（2016.9.2）</t>
  </si>
  <si>
    <t>第十三期</t>
  </si>
  <si>
    <t>2017.2.23</t>
  </si>
  <si>
    <t>会议纪要（后沟水路工程建设管理指挥部征地拆迁安置组关于后沟水库武德干渠征地工作会议纪要）</t>
  </si>
  <si>
    <t>第十一期(2016.3.23)</t>
  </si>
  <si>
    <t>2017.3.23</t>
  </si>
  <si>
    <t>后沟水路工程建设管理指挥部指挥长(扩大）会议纪要</t>
  </si>
  <si>
    <t>第三十六期</t>
  </si>
  <si>
    <t>项目部</t>
  </si>
  <si>
    <t>2017.4.23</t>
  </si>
  <si>
    <t>复印件</t>
  </si>
  <si>
    <t>关于加强王家沟、后沟水库工程建设农民工工资支付管理工作的通知</t>
  </si>
  <si>
    <t>筠水投发【2016】1号</t>
  </si>
  <si>
    <t>武德干渠监理部</t>
  </si>
  <si>
    <t>2016.1.12</t>
  </si>
  <si>
    <t>关于武德干渠工程在施工中发生重大设计变更情况的请求报告</t>
  </si>
  <si>
    <t>君源水电项管（2016）011号</t>
  </si>
  <si>
    <t>2016.1.26</t>
  </si>
  <si>
    <t>关于后沟水库主干渠施工方与闫香青房屋损害纠纷调解处理意见</t>
  </si>
  <si>
    <t>武德乡调解委员会</t>
  </si>
  <si>
    <t>2016.2.3</t>
  </si>
  <si>
    <t>筠连县三川水务投资有限责任公司关于编制王家沟、后沟水库2016年工程防洪度汛方案及防洪度汛应预案的通知</t>
  </si>
  <si>
    <t>筠水投发【2016】7号</t>
  </si>
  <si>
    <t>2016.3.4</t>
  </si>
  <si>
    <t>《四川省水利基本建设工程质量监督中心站关于省级监督水利工程项目有关工作要求的通知》</t>
  </si>
  <si>
    <t>宜水质监【2016】004号</t>
  </si>
  <si>
    <t>2016.3.7</t>
  </si>
  <si>
    <t>无</t>
  </si>
  <si>
    <t>关于开展宜宾市2016年度第一次水利基本建设工程质量资料监督巡查的通知</t>
  </si>
  <si>
    <t>川水质监【2016】24号</t>
  </si>
  <si>
    <t>2016.3.23</t>
  </si>
  <si>
    <t>关于陈春宏、王君两位同志的委派同志</t>
  </si>
  <si>
    <t>君源建司项管（2016）013号</t>
  </si>
  <si>
    <t>三川水务后沟项目部</t>
  </si>
  <si>
    <t>2016.4.15</t>
  </si>
  <si>
    <t>暂行停止施工通知</t>
  </si>
  <si>
    <t>武德乡政府</t>
  </si>
  <si>
    <t>2016.5.14</t>
  </si>
  <si>
    <t>关于民工工资保函的申请及回复</t>
  </si>
  <si>
    <t>2016.5.20</t>
  </si>
  <si>
    <t>隐患排查与方案制定工作通知</t>
  </si>
  <si>
    <t>2016.5.4</t>
  </si>
  <si>
    <t>自检计划上报工作通知</t>
  </si>
  <si>
    <t>2016.5.26</t>
  </si>
  <si>
    <t>变更申请报告模板</t>
  </si>
  <si>
    <t>2016.4.5</t>
  </si>
  <si>
    <t>关于做好夏季防暑降温觉防洪防汛工作的通知</t>
  </si>
  <si>
    <t>君源水电项管（2016）027号</t>
  </si>
  <si>
    <t>四川省君源水电建设有限公司</t>
  </si>
  <si>
    <t>2016.6.17</t>
  </si>
  <si>
    <t>电费代缴委托书</t>
  </si>
  <si>
    <t>2016.6.16</t>
  </si>
  <si>
    <t>筠水质监发[2016]16号</t>
  </si>
  <si>
    <t>2016.6.22</t>
  </si>
  <si>
    <t>关于加强王家沟、后沟水库防洪度汛安全工作的通知</t>
  </si>
  <si>
    <t>筠水投发【2016】21号</t>
  </si>
  <si>
    <t>筠连县三川水务投资有限责任公司</t>
  </si>
  <si>
    <t>筠连县水务局关于后沟水库武德干渠段安全隐患整改的通知</t>
  </si>
  <si>
    <t>筠水发[2016]46号</t>
  </si>
  <si>
    <t>2016、12、9</t>
  </si>
  <si>
    <t>关于开展电力安全生产大检查的通知</t>
  </si>
  <si>
    <t>川监能安全[2016]177号</t>
  </si>
  <si>
    <t>四川能源监管办</t>
  </si>
  <si>
    <t>2016、12、12</t>
  </si>
  <si>
    <t>四川省政府安委会办公室关于转发《国务院安委会办公室关于江西丰城发电厂“11、24”冷却塔施工平台坍塌特别重大事故的通报》的函及国务院安委会办公室关于江西丰城发电厂“11、24”冷却塔施工平台坍塌特别重大事故的通报</t>
  </si>
  <si>
    <t>川安办函[2016]125号</t>
  </si>
  <si>
    <t>四川省政府安委会办公室</t>
  </si>
  <si>
    <t>四川省人民政府安全生产委员会关于进一步落实企业全员岗位安全生产责任制的指导意见和市县一组的转发通知</t>
  </si>
  <si>
    <t>2017年文件</t>
  </si>
  <si>
    <t>工作通知及项目部的回复</t>
  </si>
  <si>
    <t>2017.4.12</t>
  </si>
  <si>
    <t>关于对兴文县芭茅沟水库、屏山县中坝水库、筠连县后沟水库工程进展督导的情况报告</t>
  </si>
  <si>
    <t>筠连县后沟水库武德干渠工程标段倒虹管询价报告</t>
  </si>
  <si>
    <t>监理部</t>
  </si>
  <si>
    <t>2017.4.17</t>
  </si>
  <si>
    <t>会议纪要（项目组工作会议）</t>
  </si>
  <si>
    <t>2017.4.20</t>
  </si>
  <si>
    <t>后沟水库建设管理指挥部</t>
  </si>
  <si>
    <t>会议纪要（工程建设现场工作会议）</t>
  </si>
  <si>
    <t>第二期</t>
  </si>
  <si>
    <t>会议纪要（工程建设推进）</t>
  </si>
  <si>
    <t>第三期</t>
  </si>
  <si>
    <t>第五期</t>
  </si>
  <si>
    <t>2017.5.12</t>
  </si>
  <si>
    <t>会议纪要（贯彻烟草公司督查情况会议纪要）</t>
  </si>
  <si>
    <t>第七期</t>
  </si>
  <si>
    <t>2017.6.5</t>
  </si>
  <si>
    <t>会议纪要（后沟水库建设管理指挥部扩大会议）</t>
  </si>
  <si>
    <t>2017.5.10</t>
  </si>
  <si>
    <t>武德干渠施工进度周例会会议纪要（2017.5.17）</t>
  </si>
  <si>
    <t>2017.5.19</t>
  </si>
  <si>
    <t>关于后沟水库武德干渠隧洞、倒虹管、渠道、渡槽及弃渣场施工进行施工安全整改的通知</t>
  </si>
  <si>
    <t>2017.5.11</t>
  </si>
  <si>
    <t>后沟水库工程建设管理指挥部参与制定的施工组织计划手写稿</t>
  </si>
  <si>
    <t>施工进度周例会</t>
  </si>
  <si>
    <t>2017.6.2</t>
  </si>
  <si>
    <t>2017.6.9召开</t>
  </si>
  <si>
    <t>2017.6.24召开</t>
  </si>
  <si>
    <t>2017.6.30</t>
  </si>
  <si>
    <t>2017.6.30召开</t>
  </si>
  <si>
    <t>2017.7.3</t>
  </si>
  <si>
    <t>2017.7.7召开</t>
  </si>
  <si>
    <t>2017.7.14</t>
  </si>
  <si>
    <t>会议纪要（武德干渠安全检查）</t>
  </si>
  <si>
    <t>2017.6.28</t>
  </si>
  <si>
    <t>2017.7.14召开</t>
  </si>
  <si>
    <t>2017.8.7召开</t>
  </si>
  <si>
    <t>2017.8.11</t>
  </si>
  <si>
    <t>2017.9.3召开</t>
  </si>
  <si>
    <t>2017.9.8</t>
  </si>
  <si>
    <t>2017.9.11召开</t>
  </si>
  <si>
    <t>2017.9.14</t>
  </si>
  <si>
    <t>会议纪要第24期</t>
  </si>
  <si>
    <t>（2017.9.28）</t>
  </si>
  <si>
    <t>会议纪要第五期</t>
  </si>
  <si>
    <t>2017.10.9</t>
  </si>
  <si>
    <t>2017.10.18</t>
  </si>
  <si>
    <t>会议纪要第六期</t>
  </si>
  <si>
    <t>2017.11月22召开</t>
  </si>
  <si>
    <t>2017.12.1</t>
  </si>
  <si>
    <t>筠水质监发[2017]4号</t>
  </si>
  <si>
    <t>筠连县三川水务投资有限责任公司关于加强安全生产和维稳工作的通知</t>
  </si>
  <si>
    <t>2017.12.13</t>
  </si>
  <si>
    <t>会议纪要（2017.12.13）</t>
  </si>
  <si>
    <t>2017.12.13召开</t>
  </si>
  <si>
    <t>2017.12.25</t>
  </si>
  <si>
    <t>会议纪要</t>
  </si>
  <si>
    <t>2017年12月29</t>
  </si>
  <si>
    <t>2018.1.6</t>
  </si>
  <si>
    <t>会议纪要（年底完工）</t>
  </si>
  <si>
    <t>2017.12.18</t>
  </si>
  <si>
    <t>君源公司关于提供成本发票的通知</t>
  </si>
  <si>
    <t>2017.8.25</t>
  </si>
  <si>
    <t>武德干渠施工用地移交登记表</t>
  </si>
  <si>
    <t>关津三组至四组（2017.9.5）</t>
  </si>
  <si>
    <t>2018年文件</t>
  </si>
  <si>
    <t>筠连县三川水务投资有限责任公司关于后沟水库各参建单位按照宜宾市纪委联席会议要求进行整改的通知</t>
  </si>
  <si>
    <t>筠水投发[2018]1号</t>
  </si>
  <si>
    <t>扫描件</t>
  </si>
  <si>
    <t>会议纪要（2018.1.9）（杨孝强房屋拆迁）</t>
  </si>
  <si>
    <t>筠连县三川水务投资有限责任公司关于2018年春假后复工安全防范的通知</t>
  </si>
  <si>
    <t>筠水投发[2018]9号</t>
  </si>
  <si>
    <t>2018.3.7</t>
  </si>
  <si>
    <t>2018年2月1号</t>
  </si>
  <si>
    <t>关于任命胡吉华为后沟项目经理的通知</t>
  </si>
  <si>
    <t>安全生产检查记录（2017年12月15日检查）</t>
  </si>
  <si>
    <t>安全检查盒</t>
  </si>
  <si>
    <t>安全生产检查记录（2018年2月8日检查）</t>
  </si>
  <si>
    <t>工作联系单（武德干渠段急需恢复清单）</t>
  </si>
  <si>
    <t>DN1400询价</t>
  </si>
  <si>
    <t>倒排工期计划（陈叙签字）（2018.7.13）</t>
  </si>
  <si>
    <t>2018.7.20</t>
  </si>
  <si>
    <t>会议纪要（金属结构采购事宜）</t>
  </si>
  <si>
    <t>会议纪要（关于武德干渠变更处理事宜）（2018.6.13召开）</t>
  </si>
  <si>
    <t>2018、7、24</t>
  </si>
  <si>
    <t>筠连县三川水务投资有限责任公司关于对武德干渠2018年8月6日报告单的回复意见</t>
  </si>
  <si>
    <t>筠水投函[2018]49号</t>
  </si>
  <si>
    <t>2018、8、19</t>
  </si>
  <si>
    <t>武德干渠文件目录G-02号文件盒</t>
  </si>
  <si>
    <t>2015年报告</t>
  </si>
  <si>
    <t>暂停施工申请报告（分部工程岩头上隧洞）</t>
  </si>
  <si>
    <t>2015暂停01</t>
  </si>
  <si>
    <t>2015.6.7</t>
  </si>
  <si>
    <t>暂停施工申请报告（分部工程狗颈子1#～2#隧洞沟渠段、隧洞施工作业段）</t>
  </si>
  <si>
    <t>2015暂停02</t>
  </si>
  <si>
    <t>2015.7.19</t>
  </si>
  <si>
    <t>2015暂停03</t>
  </si>
  <si>
    <t>2015.9.30</t>
  </si>
  <si>
    <t>关于武德干渠工程施工标段布设变压器的报告</t>
  </si>
  <si>
    <t>各1份</t>
  </si>
  <si>
    <t>2015.1.13</t>
  </si>
  <si>
    <t>换章前的资料</t>
  </si>
  <si>
    <t>2015.2.1</t>
  </si>
  <si>
    <t>施工图用图计划报告及施工用图计划书</t>
  </si>
  <si>
    <t>2015.3.31</t>
  </si>
  <si>
    <t>报告单（关于项目章启用）及附件</t>
  </si>
  <si>
    <t>2015-001</t>
  </si>
  <si>
    <t>2015.5.5</t>
  </si>
  <si>
    <t>2015.6.8</t>
  </si>
  <si>
    <t>报告单（关于施工用图计划书）及附件施工用图计划书</t>
  </si>
  <si>
    <t>2015-002</t>
  </si>
  <si>
    <t>2015.5.11</t>
  </si>
  <si>
    <t>报告单（施工用电计划书）</t>
  </si>
  <si>
    <t>2015-003</t>
  </si>
  <si>
    <t>报告单（关于GPS控制点加密）</t>
  </si>
  <si>
    <t>2015-004</t>
  </si>
  <si>
    <t>2015.5.13</t>
  </si>
  <si>
    <t>报告单
（项目经理温淳更换为周龙虎）</t>
  </si>
  <si>
    <t>2015-005</t>
  </si>
  <si>
    <t>2015.5.22</t>
  </si>
  <si>
    <t>报告单
（岩头隧道、兔儿包隧道未安装电）</t>
  </si>
  <si>
    <t>2015-006</t>
  </si>
  <si>
    <t>2015.5.15</t>
  </si>
  <si>
    <t>2015.5.16</t>
  </si>
  <si>
    <t xml:space="preserve">报告单（关于狗劲子1#隧洞出口段渠道施工难度大）
</t>
  </si>
  <si>
    <t>2015-007</t>
  </si>
  <si>
    <t>2015.5.20</t>
  </si>
  <si>
    <t>未批复</t>
  </si>
  <si>
    <t>报告单
（关于未收到地质情况报告单）</t>
  </si>
  <si>
    <t>2015-008</t>
  </si>
  <si>
    <t>报告单
（岩头上隧洞右上方山体滑坡）</t>
  </si>
  <si>
    <t>2015-009</t>
  </si>
  <si>
    <t>2015.6.6</t>
  </si>
  <si>
    <t>报告单（大坪头隧洞、冷沙湾隧洞围岩与图纸不符）</t>
  </si>
  <si>
    <t>2015-010</t>
  </si>
  <si>
    <t>2015.6.25</t>
  </si>
  <si>
    <t>退回未批复</t>
  </si>
  <si>
    <t xml:space="preserve">报告单（有关高程复测成果与设计提供数据对比偏差大）
</t>
  </si>
  <si>
    <t>2015-011</t>
  </si>
  <si>
    <t>2015.7.21</t>
  </si>
  <si>
    <t xml:space="preserve">报告单
</t>
  </si>
  <si>
    <t>2015-012</t>
  </si>
  <si>
    <t>报告单（K2+824~K4+000、K9+270~K10+480，K14+990~K15+100、K16+862~K18+113.06、这几段沟渠相关施工用图）</t>
  </si>
  <si>
    <t>2015-013</t>
  </si>
  <si>
    <t>报告单
（棬坪、狗劲子1#2#隧道村民阻工）</t>
  </si>
  <si>
    <t>2015-014</t>
  </si>
  <si>
    <t>2015.7.20</t>
  </si>
  <si>
    <t>2015.8.12</t>
  </si>
  <si>
    <t>至今还未处理好</t>
  </si>
  <si>
    <t>报告单（岩头上隧道出口位置发生变化，隧道沿线右上方出现山体滑坡、
上报7号报告单至今未回复）</t>
  </si>
  <si>
    <t>2015-015</t>
  </si>
  <si>
    <t>2015.7.26</t>
  </si>
  <si>
    <t>报告单（业主、监理、施工单位一同对狗劲子1#至2#隧道渠道进行了现场复测、确定该渠道无问题，业主尽快落实征地问题）</t>
  </si>
  <si>
    <t>2015-016</t>
  </si>
  <si>
    <t>报告单（关于岩头上隧洞挡渣墙施工方案建议）</t>
  </si>
  <si>
    <t>2015-017</t>
  </si>
  <si>
    <t>2015.8.17</t>
  </si>
  <si>
    <t>报告单（关于施工用图计划书）</t>
  </si>
  <si>
    <t>2015-018</t>
  </si>
  <si>
    <t>2015.8.27</t>
  </si>
  <si>
    <t>报告单（关于荒坡及狗颈子1#隧洞进出口边仰坡、明暗渠边坡开挖坡度）</t>
  </si>
  <si>
    <t>2015-019</t>
  </si>
  <si>
    <t>2015.9.9</t>
  </si>
  <si>
    <t>关于尽快提供武德干渠工程岩头上隧道设计变更通知及狗颈子1#~2#隧道之间施工方案的回复</t>
  </si>
  <si>
    <t>武德干渠字[2015]02号</t>
  </si>
  <si>
    <t>2015.6.10</t>
  </si>
  <si>
    <t>2016年报告</t>
  </si>
  <si>
    <t>施工用图计划报告</t>
  </si>
  <si>
    <t>【2016】图计001</t>
  </si>
  <si>
    <t>2016.6.27</t>
  </si>
  <si>
    <t>报告单（关于变压器已安装、未安、增设报告）2016年</t>
  </si>
  <si>
    <t>【2016】1</t>
  </si>
  <si>
    <t>陈佑丽</t>
  </si>
  <si>
    <t>2016.3.3</t>
  </si>
  <si>
    <t>报告单（岩头上弃渣场挡渣墙被阻工）2016年</t>
  </si>
  <si>
    <t>【2016】2</t>
  </si>
  <si>
    <t>2016.4.14</t>
  </si>
  <si>
    <t>报告单（武德干渠工程人工骨料场区域）</t>
  </si>
  <si>
    <t>【2016】3</t>
  </si>
  <si>
    <t>2016.3.12</t>
  </si>
  <si>
    <t>报告单（请求协调、协助炸药库情况）</t>
  </si>
  <si>
    <t>【2016】4</t>
  </si>
  <si>
    <t>报告单（关于重大设计变更的请求报告）</t>
  </si>
  <si>
    <t>【2016】5</t>
  </si>
  <si>
    <t>2016.3.06</t>
  </si>
  <si>
    <t>报告单（关于急需解决征地范围和因村民阻工、停工问题）</t>
  </si>
  <si>
    <t>【2016】6</t>
  </si>
  <si>
    <t>2016.3.16</t>
  </si>
  <si>
    <t>报告单（采石场征地和安变压器）</t>
  </si>
  <si>
    <t>【2016】7</t>
  </si>
  <si>
    <t>王绍松</t>
  </si>
  <si>
    <t>2016.3.18</t>
  </si>
  <si>
    <t>2016.4.7</t>
  </si>
  <si>
    <t>报告单（倒虹管征地）</t>
  </si>
  <si>
    <t>【2016】8</t>
  </si>
  <si>
    <t>2016.3.29</t>
  </si>
  <si>
    <t>报告单（存在问题）</t>
  </si>
  <si>
    <t>【2016】9</t>
  </si>
  <si>
    <t>2016.3.30</t>
  </si>
  <si>
    <t>报告单（关于居民引水管道、蓄水池问题）</t>
  </si>
  <si>
    <t>【2016】10</t>
  </si>
  <si>
    <t>2016.6.15</t>
  </si>
  <si>
    <t>报告单（关于武德干渠重大设计变更的情况报告）</t>
  </si>
  <si>
    <t>【2016】11</t>
  </si>
  <si>
    <t>2016.4.19</t>
  </si>
  <si>
    <t>报告单（狗颈子阻工的情况报告）</t>
  </si>
  <si>
    <t>【2016】12</t>
  </si>
  <si>
    <t>2016.4.21</t>
  </si>
  <si>
    <t>报告单（兔儿苞隧洞阻工的情况报告）</t>
  </si>
  <si>
    <t>【2016】13</t>
  </si>
  <si>
    <t>2016.4.23</t>
  </si>
  <si>
    <t>报告单（关于从进场至3月底的进度情况）</t>
  </si>
  <si>
    <t>【2016】14</t>
  </si>
  <si>
    <t>2016.5.11</t>
  </si>
  <si>
    <t>报告单（关于沿线民房情况报告）</t>
  </si>
  <si>
    <t>【2016】15</t>
  </si>
  <si>
    <t>2016.5.31</t>
  </si>
  <si>
    <t>报告单（关于水保工程的报告）</t>
  </si>
  <si>
    <t>【2016】16</t>
  </si>
  <si>
    <t>2016.6.14</t>
  </si>
  <si>
    <t>报告单（兔儿包阻工）</t>
  </si>
  <si>
    <t>[2016]17</t>
  </si>
  <si>
    <t>报告单（度汛安全工作汇报）</t>
  </si>
  <si>
    <t>【2016】18</t>
  </si>
  <si>
    <t>变压器安装报告（监理及甲方有回复）</t>
  </si>
  <si>
    <t>【2016】019</t>
  </si>
  <si>
    <t>王大贵</t>
  </si>
  <si>
    <t>2016.7.12</t>
  </si>
  <si>
    <t>2016.8.3</t>
  </si>
  <si>
    <t>PCCP管变更</t>
  </si>
  <si>
    <t>【2016】020</t>
  </si>
  <si>
    <t>荒坡隧洞挖机被阻拦</t>
  </si>
  <si>
    <t>【2016】021</t>
  </si>
  <si>
    <t>姚程仁</t>
  </si>
  <si>
    <t>2016.7.20</t>
  </si>
  <si>
    <t>兔儿苞隧洞变压器损坏</t>
  </si>
  <si>
    <t>【2016】022</t>
  </si>
  <si>
    <t>2016.7.28</t>
  </si>
  <si>
    <t>灾情报告单</t>
  </si>
  <si>
    <t>【2016】023</t>
  </si>
  <si>
    <t>2016.8.9</t>
  </si>
  <si>
    <t>灾情报告单（关津村四组罗仲军房屋）</t>
  </si>
  <si>
    <t>【2016】024</t>
  </si>
  <si>
    <t>2016.8.10</t>
  </si>
  <si>
    <t>工程情况汇报（电子版形式报三川公司）</t>
  </si>
  <si>
    <t>武德干渠QQ</t>
  </si>
  <si>
    <t>刘羽QQ</t>
  </si>
  <si>
    <t>施工中急须处理的问题</t>
  </si>
  <si>
    <t>【2016】025</t>
  </si>
  <si>
    <t>2016.8.15</t>
  </si>
  <si>
    <t>陶天铺隧洞处电杆</t>
  </si>
  <si>
    <t>【2016】026</t>
  </si>
  <si>
    <t>2016.8.16</t>
  </si>
  <si>
    <t>陶田铺隧洞出口段边坡塌方</t>
  </si>
  <si>
    <t>【2016】027</t>
  </si>
  <si>
    <t>2016.8.29</t>
  </si>
  <si>
    <t>陶田铺隧洞出口电杆断裂</t>
  </si>
  <si>
    <t>【2016】028</t>
  </si>
  <si>
    <t>2016.9.5</t>
  </si>
  <si>
    <t>弃渣场工程项目单价报告</t>
  </si>
  <si>
    <t>【2016】029</t>
  </si>
  <si>
    <t>金久倒虹吸管处阻工</t>
  </si>
  <si>
    <t>【2016】030</t>
  </si>
  <si>
    <t>2016.8.31</t>
  </si>
  <si>
    <t>紧急报告</t>
  </si>
  <si>
    <t>【2016】031</t>
  </si>
  <si>
    <t>2016.9.13</t>
  </si>
  <si>
    <t>2016.9.14</t>
  </si>
  <si>
    <t>分时限行报告</t>
  </si>
  <si>
    <t>【2016】032</t>
  </si>
  <si>
    <t>未报</t>
  </si>
  <si>
    <t>朱家沟倒虹吸管出口处塌方报告</t>
  </si>
  <si>
    <t>【2016】033</t>
  </si>
  <si>
    <t>石龙湖阻工报告</t>
  </si>
  <si>
    <t>【2016】034</t>
  </si>
  <si>
    <t>岩头上弃渣场阻工报告</t>
  </si>
  <si>
    <t>【2016】035</t>
  </si>
  <si>
    <t>2016.9.27</t>
  </si>
  <si>
    <t>2016.10.13</t>
  </si>
  <si>
    <t>岩头上弃渣场复工报告</t>
  </si>
  <si>
    <t>【2016】036</t>
  </si>
  <si>
    <t>2016.10.14</t>
  </si>
  <si>
    <r>
      <rPr>
        <sz val="12"/>
        <rFont val="宋体"/>
        <charset val="134"/>
      </rPr>
      <t>2016.1</t>
    </r>
    <r>
      <rPr>
        <sz val="12"/>
        <rFont val="宋体"/>
        <charset val="134"/>
      </rPr>
      <t>1</t>
    </r>
    <r>
      <rPr>
        <sz val="12"/>
        <rFont val="宋体"/>
        <charset val="134"/>
      </rPr>
      <t>.1</t>
    </r>
    <r>
      <rPr>
        <sz val="12"/>
        <rFont val="宋体"/>
        <charset val="134"/>
      </rPr>
      <t>6</t>
    </r>
  </si>
  <si>
    <t>水工Ⅲ汤水岩处电杆断裂报告</t>
  </si>
  <si>
    <t>【2016】037</t>
  </si>
  <si>
    <t>李均碧</t>
  </si>
  <si>
    <r>
      <rPr>
        <sz val="12"/>
        <rFont val="宋体"/>
        <charset val="134"/>
      </rPr>
      <t>2</t>
    </r>
    <r>
      <rPr>
        <sz val="12"/>
        <rFont val="宋体"/>
        <charset val="134"/>
      </rPr>
      <t>016.11.1</t>
    </r>
  </si>
  <si>
    <t>水工1部分隧洞恢复初设</t>
  </si>
  <si>
    <t>【2016】038</t>
  </si>
  <si>
    <t>2016.11.21</t>
  </si>
  <si>
    <t>催促设计提供汤水岩弃渣场图纸</t>
  </si>
  <si>
    <t>【2016】039</t>
  </si>
  <si>
    <t>杜家村隧洞弃渣场相关问题</t>
  </si>
  <si>
    <t>【2016】040</t>
  </si>
  <si>
    <t>水工Ⅲ部份明渠变暗渠</t>
  </si>
  <si>
    <t>【2016】041</t>
  </si>
  <si>
    <t>兔儿苞隧洞变压器损坏出口蓄水池相关问题报告</t>
  </si>
  <si>
    <t>【2016】042</t>
  </si>
  <si>
    <t>2016.11.29</t>
  </si>
  <si>
    <t>朱家沟倒虹吸管阻工问题的报告</t>
  </si>
  <si>
    <t>【2016】043</t>
  </si>
  <si>
    <t>桂花隧洞出口至金久倒虹管起点引水明渠段村民阻工报告</t>
  </si>
  <si>
    <t>【2016】044</t>
  </si>
  <si>
    <t>2016.12.26</t>
  </si>
  <si>
    <t>44号报告对应的复工报告</t>
  </si>
  <si>
    <t>【2016】045</t>
  </si>
  <si>
    <t>2017.1.7</t>
  </si>
  <si>
    <t>冷杉湾隧洞出口至荒坡隧洞进口引水明渠段村民阻工</t>
  </si>
  <si>
    <t>【2016】046</t>
  </si>
  <si>
    <t>不确定是否报过，发文没记录</t>
  </si>
  <si>
    <t xml:space="preserve">关于筠连县后沟水库武德干渠工程五次重大设计变更的情况说明 </t>
  </si>
  <si>
    <t>方光明</t>
  </si>
  <si>
    <t>三川水务及县委主要领导</t>
  </si>
  <si>
    <t>2016.8.14</t>
  </si>
  <si>
    <t>隧洞附近民房情况的再次汇报</t>
  </si>
  <si>
    <t>2016.9.20</t>
  </si>
  <si>
    <t>汇报材料</t>
  </si>
  <si>
    <t>中国烟草水源工程筠连县后沟水库武德干渠工程开工至2016年7月工程进展及存在问题情况汇报</t>
  </si>
  <si>
    <t>2016.8.1</t>
  </si>
  <si>
    <t>2017年报告单</t>
  </si>
  <si>
    <t>石龙湖段引水明暗渠段村民阻工</t>
  </si>
  <si>
    <t>[2017]001</t>
  </si>
  <si>
    <t>2017.1.10</t>
  </si>
  <si>
    <t>2017.3.5</t>
  </si>
  <si>
    <t>监理甲方批复：属实</t>
  </si>
  <si>
    <t>中坪6组村民阻挡挖掘机转场报告</t>
  </si>
  <si>
    <t>[2017]002</t>
  </si>
  <si>
    <t>2017.1.17</t>
  </si>
  <si>
    <t>2017.2.28</t>
  </si>
  <si>
    <t>阻工报告</t>
  </si>
  <si>
    <t>[2017]003</t>
  </si>
  <si>
    <t>监理不同意报</t>
  </si>
  <si>
    <t>变压器安装报告</t>
  </si>
  <si>
    <t>[2017]004</t>
  </si>
  <si>
    <t>2017.2.16</t>
  </si>
  <si>
    <t>影响工程顺利推进的各种事由的报告</t>
  </si>
  <si>
    <t>[2017]005</t>
  </si>
  <si>
    <t>报告单，变压器安装</t>
  </si>
  <si>
    <t>[2017]006</t>
  </si>
  <si>
    <t>甲方退回，后007重新报</t>
  </si>
  <si>
    <t>报告单，关于倒排工期的报告</t>
  </si>
  <si>
    <t>[2017]007</t>
  </si>
  <si>
    <t>2017.2.24</t>
  </si>
  <si>
    <t>2017.2.28退回作废</t>
  </si>
  <si>
    <t>暂停施工申请报告（全线停工）</t>
  </si>
  <si>
    <t>2017暂停001</t>
  </si>
  <si>
    <t>2017.1.18</t>
  </si>
  <si>
    <t>增设变压器报告</t>
  </si>
  <si>
    <t>2017.3.1</t>
  </si>
  <si>
    <t>2017图计001</t>
  </si>
  <si>
    <t>2017.3.19</t>
  </si>
  <si>
    <t>2117.4.12</t>
  </si>
  <si>
    <t>请求召开联系会议</t>
  </si>
  <si>
    <t>[2017]008</t>
  </si>
  <si>
    <t>2017、3、22</t>
  </si>
  <si>
    <t>大坪头AB隧洞、童家崖隧洞求地质勘探资料报告</t>
  </si>
  <si>
    <t>[2017]009</t>
  </si>
  <si>
    <t>请求出具陶田铺隧洞出口内坡减负方案的报告</t>
  </si>
  <si>
    <t>[2017]010</t>
  </si>
  <si>
    <t>K0+000~K0+262明渠变暗渠的报告</t>
  </si>
  <si>
    <t>[2017]011</t>
  </si>
  <si>
    <t>变更组价及调价的报告</t>
  </si>
  <si>
    <t>[2017]012</t>
  </si>
  <si>
    <t>关于中坪六组阻工报告</t>
  </si>
  <si>
    <t>[2017]013</t>
  </si>
  <si>
    <t>2017、3、27</t>
  </si>
  <si>
    <t>增设弃渣场的报告</t>
  </si>
  <si>
    <t>[2017]014</t>
  </si>
  <si>
    <t>2017、4、1</t>
  </si>
  <si>
    <t>明渠变暗渠报告</t>
  </si>
  <si>
    <t>[2017]015</t>
  </si>
  <si>
    <t>PCCp管询价报告</t>
  </si>
  <si>
    <t>[2017]016</t>
  </si>
  <si>
    <t>2017.4.26</t>
  </si>
  <si>
    <t>倒排工期计划报告（2017.10.31）</t>
  </si>
  <si>
    <t>[2017]017</t>
  </si>
  <si>
    <t>2017.4.1</t>
  </si>
  <si>
    <t>小塝子进场施工报告</t>
  </si>
  <si>
    <t>[2017]018</t>
  </si>
  <si>
    <t>[2017]019</t>
  </si>
  <si>
    <t>2017.5.31</t>
  </si>
  <si>
    <t>水工Ⅲ增充弃渣场报告</t>
  </si>
  <si>
    <t>[2017]020</t>
  </si>
  <si>
    <t>关于“尽快确认朱家沟倒虹管工程的变更工程费用组价”的紧急报告</t>
  </si>
  <si>
    <t>武德干渠字[2017]001号</t>
  </si>
  <si>
    <t>2017.4.25</t>
  </si>
  <si>
    <t>岩头上隧洞问题</t>
  </si>
  <si>
    <t>[2017]021</t>
  </si>
  <si>
    <t>作废</t>
  </si>
  <si>
    <t>关于明暗渠施工前需要甲方解决的问题报告</t>
  </si>
  <si>
    <t>[2017]022</t>
  </si>
  <si>
    <t>2017.5.18退回</t>
  </si>
  <si>
    <t>关于“请求借款用于购买材料、设备”的请示</t>
  </si>
  <si>
    <t>孔明庙阻工报告</t>
  </si>
  <si>
    <t>[2017]023</t>
  </si>
  <si>
    <t>2017.5.27</t>
  </si>
  <si>
    <t>大坪头B隧洞施工便道阻工报告</t>
  </si>
  <si>
    <t>[2017]024</t>
  </si>
  <si>
    <t>2017.6.3</t>
  </si>
  <si>
    <t>2017.6.20</t>
  </si>
  <si>
    <t>杜家村隧洞处阻工报告</t>
  </si>
  <si>
    <t>[2017]025</t>
  </si>
  <si>
    <t>冷杉湾弃渣场阻工报告</t>
  </si>
  <si>
    <t>[2017]026</t>
  </si>
  <si>
    <t>兔儿苞隧洞石料场阻工</t>
  </si>
  <si>
    <t>[2017]027</t>
  </si>
  <si>
    <t>石龙湖段渠道和石料场村民阻工</t>
  </si>
  <si>
    <t>[2017]028</t>
  </si>
  <si>
    <t>[2017]029</t>
  </si>
  <si>
    <t>[2017]030</t>
  </si>
  <si>
    <t>采石场破坏我部渠线的报告</t>
  </si>
  <si>
    <t>[2017]031</t>
  </si>
  <si>
    <t>2017.6.23</t>
  </si>
  <si>
    <t>索赔意向通知单</t>
  </si>
  <si>
    <t>2017赔通002号</t>
  </si>
  <si>
    <t>请求对修复汤水岩下方机耕道的挖机签证</t>
  </si>
  <si>
    <t>[2017]032</t>
  </si>
  <si>
    <t>[2017]033</t>
  </si>
  <si>
    <t>中坪七组在兔儿苞阻工</t>
  </si>
  <si>
    <t>[2017]034</t>
  </si>
  <si>
    <t>[2017]035</t>
  </si>
  <si>
    <t>请求解决工地施工用水的报告</t>
  </si>
  <si>
    <t>[2017]036</t>
  </si>
  <si>
    <t>2017.7.27</t>
  </si>
  <si>
    <t>请求解决汤水岩边坡减载处理时电力部门要求停工的问题</t>
  </si>
  <si>
    <t>[2017]037</t>
  </si>
  <si>
    <t>请求增加童家崖隧洞出口和扇子坝进口变压器</t>
  </si>
  <si>
    <t>[2017]038</t>
  </si>
  <si>
    <t>断道报告</t>
  </si>
  <si>
    <t>[2017]043</t>
  </si>
  <si>
    <t>15号变更存在异议的报告</t>
  </si>
  <si>
    <t>[2017]044</t>
  </si>
  <si>
    <t>K19+398~498处明渠变暗渠报告</t>
  </si>
  <si>
    <t>[2017]045</t>
  </si>
  <si>
    <t>[2017]046</t>
  </si>
  <si>
    <t>2017、12、21</t>
  </si>
  <si>
    <t>杜家村隧洞新增施工便道征地</t>
  </si>
  <si>
    <t>[2017]047</t>
  </si>
  <si>
    <t>关于变更工程价款支付的专题报告</t>
  </si>
  <si>
    <t>君源武德干渠字2017－12号</t>
  </si>
  <si>
    <t>2017.12.11</t>
  </si>
  <si>
    <t>2018年报告单</t>
  </si>
  <si>
    <t>报告单：申请主材调差</t>
  </si>
  <si>
    <t>2018－001</t>
  </si>
  <si>
    <t>报告单：申请小塝子倒虹管询价</t>
  </si>
  <si>
    <t>2018－002</t>
  </si>
  <si>
    <t>武德干渠文件目录G-03号文件盒</t>
  </si>
  <si>
    <t xml:space="preserve">返回日期 </t>
  </si>
  <si>
    <t>进场通知</t>
  </si>
  <si>
    <t>进场01号</t>
  </si>
  <si>
    <t>预付款拨款申请、中标通知书、开户许可证</t>
  </si>
  <si>
    <t>筠连县后沟水库武德干渠工程施工标段合同文件（副本）</t>
  </si>
  <si>
    <t>筠连县后沟水库武德干渠工程施工标段合同文件（正本）</t>
  </si>
  <si>
    <t>委托书（签订供电合同委托书</t>
  </si>
  <si>
    <t>三川公司</t>
  </si>
  <si>
    <t>武干项目部</t>
  </si>
  <si>
    <t>武德干渠文件目录</t>
  </si>
  <si>
    <t xml:space="preserve">接收日期 </t>
  </si>
  <si>
    <t>标后管理办法</t>
  </si>
  <si>
    <t>四川成大建设工程项目管理咨询有限公司招标控制价审核报告</t>
  </si>
  <si>
    <t>四川省筠连县后沟水库渠系武德干渠工程施工招标及合同文件－－技术条款、工程概况、工程量清单</t>
  </si>
  <si>
    <t>清单证计价表及平面图</t>
  </si>
  <si>
    <t>投标文件（副本）</t>
  </si>
  <si>
    <t>筠连县后沟水库武德干渠工程施工标段合同文件</t>
  </si>
  <si>
    <t>武德干渠文件目录G-004号文件盒</t>
  </si>
  <si>
    <t>发件人 签字</t>
  </si>
  <si>
    <t>施工月报表（2016.3.20～2016.4.20）</t>
  </si>
  <si>
    <t>第004期</t>
  </si>
  <si>
    <t>2016.5.5</t>
  </si>
  <si>
    <t>施工月报表（2016.4.20～2016.5.20）</t>
  </si>
  <si>
    <t>第005期</t>
  </si>
  <si>
    <t>施工月报表（2016.8.20～2016.9.20）</t>
  </si>
  <si>
    <t>2016.10.10</t>
  </si>
  <si>
    <r>
      <rPr>
        <sz val="12"/>
        <rFont val="宋体"/>
        <charset val="134"/>
      </rPr>
      <t>施工月报表（2016.</t>
    </r>
    <r>
      <rPr>
        <sz val="12"/>
        <rFont val="宋体"/>
        <charset val="134"/>
      </rPr>
      <t>9</t>
    </r>
    <r>
      <rPr>
        <sz val="12"/>
        <rFont val="宋体"/>
        <charset val="134"/>
      </rPr>
      <t>.20～2016.</t>
    </r>
    <r>
      <rPr>
        <sz val="12"/>
        <rFont val="宋体"/>
        <charset val="134"/>
      </rPr>
      <t>10</t>
    </r>
    <r>
      <rPr>
        <sz val="12"/>
        <rFont val="宋体"/>
        <charset val="134"/>
      </rPr>
      <t>.2</t>
    </r>
    <r>
      <rPr>
        <sz val="12"/>
        <rFont val="宋体"/>
        <charset val="134"/>
      </rPr>
      <t>0</t>
    </r>
    <r>
      <rPr>
        <sz val="12"/>
        <rFont val="宋体"/>
        <charset val="134"/>
      </rPr>
      <t>）</t>
    </r>
  </si>
  <si>
    <r>
      <rPr>
        <sz val="12"/>
        <rFont val="宋体"/>
        <charset val="134"/>
      </rPr>
      <t>0</t>
    </r>
    <r>
      <rPr>
        <sz val="12"/>
        <rFont val="宋体"/>
        <charset val="134"/>
      </rPr>
      <t>10</t>
    </r>
  </si>
  <si>
    <r>
      <rPr>
        <sz val="12"/>
        <rFont val="宋体"/>
        <charset val="134"/>
      </rPr>
      <t>2016.1</t>
    </r>
    <r>
      <rPr>
        <sz val="12"/>
        <rFont val="宋体"/>
        <charset val="134"/>
      </rPr>
      <t>1</t>
    </r>
    <r>
      <rPr>
        <sz val="12"/>
        <rFont val="宋体"/>
        <charset val="134"/>
      </rPr>
      <t>.</t>
    </r>
    <r>
      <rPr>
        <sz val="12"/>
        <rFont val="宋体"/>
        <charset val="134"/>
      </rPr>
      <t>14</t>
    </r>
  </si>
  <si>
    <t>施工月报表（2016.10.20～2016.11.20）</t>
  </si>
  <si>
    <r>
      <rPr>
        <sz val="12"/>
        <rFont val="宋体"/>
        <charset val="134"/>
      </rPr>
      <t>0</t>
    </r>
    <r>
      <rPr>
        <sz val="12"/>
        <rFont val="宋体"/>
        <charset val="134"/>
      </rPr>
      <t>11</t>
    </r>
  </si>
  <si>
    <r>
      <rPr>
        <sz val="12"/>
        <rFont val="宋体"/>
        <charset val="134"/>
      </rPr>
      <t>2</t>
    </r>
    <r>
      <rPr>
        <sz val="12"/>
        <rFont val="宋体"/>
        <charset val="134"/>
      </rPr>
      <t>016\12\14</t>
    </r>
  </si>
  <si>
    <t>施工月报表（2016.11.20～2016.12.20）</t>
  </si>
  <si>
    <t>012</t>
  </si>
  <si>
    <t>2016\12\27</t>
  </si>
  <si>
    <t>施工月报表（2017.2.21～2017.3.20）</t>
  </si>
  <si>
    <t>2017-003</t>
  </si>
  <si>
    <t>施工月报表（2017.3.21～2017.4.20）</t>
  </si>
  <si>
    <t>2017-004</t>
  </si>
  <si>
    <t>施工月报表（2017.4.21～2017.5.20）</t>
  </si>
  <si>
    <t>2017-005</t>
  </si>
  <si>
    <t>施工月报表（2017.5.21～2017.6.20）</t>
  </si>
  <si>
    <t>2017-006</t>
  </si>
  <si>
    <t>2017.6.21</t>
  </si>
  <si>
    <t>施工月报表（2017.6.21～2017.7.20）</t>
  </si>
  <si>
    <t>2017-007</t>
  </si>
  <si>
    <t>施工月报表（2017.7.21～2017.8.20）</t>
  </si>
  <si>
    <t>2017-008</t>
  </si>
  <si>
    <t>施工月报表（2017.8.21～2017.9.20）</t>
  </si>
  <si>
    <t>2017-009</t>
  </si>
  <si>
    <t>2017.10.29</t>
  </si>
  <si>
    <t>施工月报表（2017.9.21～2017.10.20）</t>
  </si>
  <si>
    <t>2017-010</t>
  </si>
  <si>
    <t>施工月报表（2017.10.21～2017.11.20）</t>
  </si>
  <si>
    <t>2017-011</t>
  </si>
  <si>
    <t>武德干渠文件目录G-005号文件盒</t>
  </si>
  <si>
    <t>日期</t>
  </si>
  <si>
    <t>施工周进度计划资料（2015.12.28～2016.1.3）</t>
  </si>
  <si>
    <t>2015.12.27</t>
  </si>
  <si>
    <t>施工周进度计划资料（2016.1.4～2016.1.10）</t>
  </si>
  <si>
    <t>2016.1.3</t>
  </si>
  <si>
    <t>施工周进度计划资料（2016.2.29～2016.3.6）</t>
  </si>
  <si>
    <t>2016.2.28</t>
  </si>
  <si>
    <t>施工周进度计划资料（2016.3.7～2016.3.13）</t>
  </si>
  <si>
    <t>2016.3.6</t>
  </si>
  <si>
    <t>施工周进度计划资料（2016.3.14～2016.3.20）</t>
  </si>
  <si>
    <t>2016.3.13</t>
  </si>
  <si>
    <t>施工周进度计划资料（2016.3.21～2016.3.27）</t>
  </si>
  <si>
    <t>2016.3.20</t>
  </si>
  <si>
    <t>施工周进度计划资料（2016.3.28～2016.4.3）</t>
  </si>
  <si>
    <t>2016.3.27</t>
  </si>
  <si>
    <t>施工周进度计划资料（2016.4.4～2016.4.10）</t>
  </si>
  <si>
    <t>2016.4.4</t>
  </si>
  <si>
    <t>施工周进度计划资料（2016.4.11～2016.4.17）</t>
  </si>
  <si>
    <t>2016.4.12</t>
  </si>
  <si>
    <t>施工周进度计划资料（2016.4.18～2016.4.24）</t>
  </si>
  <si>
    <t>2016.4.17</t>
  </si>
  <si>
    <t>施工周进度计划资料（2016.4.25～2016.5.1）</t>
  </si>
  <si>
    <t>2016.4.25</t>
  </si>
  <si>
    <t>施工周进度计划资料（2016.5.2～2016.5.8）</t>
  </si>
  <si>
    <t>2016.5.2</t>
  </si>
  <si>
    <t>施工周进度计划资料（2016.5.9～2016.5.15）</t>
  </si>
  <si>
    <t>2016.5.9</t>
  </si>
  <si>
    <t>施工周进度计划资料（2016.5.16～2016.5.22）</t>
  </si>
  <si>
    <t>2016.5.15</t>
  </si>
  <si>
    <t>施工周进度计划资料（2016.5.23～2016.5.29）</t>
  </si>
  <si>
    <t>2016.5.22</t>
  </si>
  <si>
    <t>施工周进度计划资料（2016.5.30～2016.6.5）</t>
  </si>
  <si>
    <t>2016.5.29</t>
  </si>
  <si>
    <t>施工周进度计划资料（2016.6.6～2016.6.12）</t>
  </si>
  <si>
    <t>2016.6.5</t>
  </si>
  <si>
    <t>施工周进度计划资料（2016.6.12～2016.6.19）</t>
  </si>
  <si>
    <t>2016.6.12</t>
  </si>
  <si>
    <t>进度计划</t>
  </si>
  <si>
    <t>施工总进度控制计划</t>
  </si>
  <si>
    <t>2015年5月版</t>
  </si>
  <si>
    <t>施工工期进度计划及报审表</t>
  </si>
  <si>
    <t>2015年10版</t>
  </si>
  <si>
    <t>施工月进度计划申报表</t>
  </si>
  <si>
    <t>2016-005</t>
  </si>
  <si>
    <t>2016-006</t>
  </si>
  <si>
    <t>2016-007</t>
  </si>
  <si>
    <t>2016-008</t>
  </si>
  <si>
    <t>2016-009</t>
  </si>
  <si>
    <t>2016-010</t>
  </si>
  <si>
    <t>2016-011</t>
  </si>
  <si>
    <t>施工进度计划调整申报表</t>
  </si>
  <si>
    <t>2017进调001</t>
  </si>
  <si>
    <t>2017进调002</t>
  </si>
  <si>
    <t>2018－01</t>
  </si>
  <si>
    <t>武德干渠文件目录G-07号文件盒</t>
  </si>
  <si>
    <t>编  号</t>
  </si>
  <si>
    <t>份  数</t>
  </si>
  <si>
    <t>发件单位</t>
  </si>
  <si>
    <t xml:space="preserve">收件单位 </t>
  </si>
  <si>
    <t>收件人签字</t>
  </si>
  <si>
    <t>2015年</t>
  </si>
  <si>
    <t>会议纪要（武德干渠开工令下达的相关问题）（2015.4.30）</t>
  </si>
  <si>
    <t>1</t>
  </si>
  <si>
    <t>甲方在项目部主持召开的会议</t>
  </si>
  <si>
    <t>会议纪要（武德干渠工程工期的相关问题）（2015.5.12）</t>
  </si>
  <si>
    <t>2</t>
  </si>
  <si>
    <t>会议纪要（武德干渠工程具备开工条件的相关问题）（2015.5.19）</t>
  </si>
  <si>
    <t>3</t>
  </si>
  <si>
    <t>会议纪要（近期武德干渠工程施工中需要解决的问题）（2015.7.22）</t>
  </si>
  <si>
    <t>4</t>
  </si>
  <si>
    <t>会议纪要（加快推进武德干渠工程顺利施工的相关问题）（2015.8.5）</t>
  </si>
  <si>
    <t>5</t>
  </si>
  <si>
    <t>会议纪要（武德干渠工程征地线渠道中心线相关问题）（2015.8.25）</t>
  </si>
  <si>
    <t>6</t>
  </si>
  <si>
    <t>会议纪要（武德干渠检查、落实等相关问题）（2015.9.15）</t>
  </si>
  <si>
    <t>7</t>
  </si>
  <si>
    <t>监理例会纪要（总结、协调、落实）（2015.4.8）</t>
  </si>
  <si>
    <t>监理2015纪要01号</t>
  </si>
  <si>
    <t>2015.4.29</t>
  </si>
  <si>
    <t>监理例会</t>
  </si>
  <si>
    <t>监理例会纪要（总结、协调、落实）（2015.5.14）</t>
  </si>
  <si>
    <t>监理2015纪要02号</t>
  </si>
  <si>
    <t>监理例会纪要（测量、图纸）（2015.6.25）</t>
  </si>
  <si>
    <t>监理2015纪要03号</t>
  </si>
  <si>
    <t>监理例会纪要</t>
  </si>
  <si>
    <t>2015.12.1</t>
  </si>
  <si>
    <t>会议纪要现场会议（关于岩头上隧洞出口变更线移）（2015.5.12）</t>
  </si>
  <si>
    <t>现场专题会议纪要</t>
  </si>
  <si>
    <t>现场会议纪要（关于狗颈子2#隧洞洞口洞脸、仰坡喷锚支护）（2015.6.26）</t>
  </si>
  <si>
    <t>会议纪要（关于狗颈子2#隧洞进口洞挖及狗颈子2#隧洞进口至狗颈子1#隧洞出口沟渠开挖超深确定的相关问题）（2015.9.23）</t>
  </si>
  <si>
    <t>2015.9.24</t>
  </si>
  <si>
    <t>会议纪要(关于狗颈子1#隧洞出口挂洞、狗颈子2#隧洞支护方案的确定)(2015.10.8)</t>
  </si>
  <si>
    <t>会议纪要（现场解决明挖土石方坡比问题）（2015.10.20）</t>
  </si>
  <si>
    <t>会议纪要（处理狗劲子2#隧洞洞室岩层变化、大坪头A隧洞出口至大坪头B隧洞进口段渠道悬空、大坪头A隧洞出口及大坪头B隧洞进口洞口位置等相关问题）（2015.12.31）</t>
  </si>
  <si>
    <t>四川城市建设【2015】7</t>
  </si>
  <si>
    <t>2016年</t>
  </si>
  <si>
    <t>关于大坪头B隧洞经过桥沟煤矿的情况了解记录</t>
  </si>
  <si>
    <t>2016.1.14</t>
  </si>
  <si>
    <t>专题会议纪要（关于水工Ⅲ渠道塌方设计、业主、监理、所在地荷花村领导、施工方共同参加专题会议）</t>
  </si>
  <si>
    <t>第3期</t>
  </si>
  <si>
    <t>2016.9.26</t>
  </si>
  <si>
    <t>专题会议纪要</t>
  </si>
  <si>
    <t>第4期</t>
  </si>
  <si>
    <t>专题会议纪要（岩头上弃渣场下挡墙涵管出口保护加长25米）</t>
  </si>
  <si>
    <t>第7期</t>
  </si>
  <si>
    <t>第8期</t>
  </si>
  <si>
    <t>第9期</t>
  </si>
  <si>
    <t>会议纪要（处理狗颈子1#隧洞洞室岩层变化）（2016.1.14）</t>
  </si>
  <si>
    <t>四川城市建设【2016】1</t>
  </si>
  <si>
    <t>会议纪要（武德干渠工程图纸会审及设计技术交底）（2016.1.18）</t>
  </si>
  <si>
    <t>四川城市建设【2016】2</t>
  </si>
  <si>
    <t>2016.3.2</t>
  </si>
  <si>
    <t>会议纪要（解决岩头上隧洞出口弃渣场施工相关问题）（2016.1.28）</t>
  </si>
  <si>
    <t>四川城市建设【2016】3</t>
  </si>
  <si>
    <t>会议纪要（对武德干渠大坪头B隧洞的设计变更进行现场勘测和方案研究）（2016.2.23）</t>
  </si>
  <si>
    <t>四川城市建设【2016】4</t>
  </si>
  <si>
    <t>缺失</t>
  </si>
  <si>
    <t>会议纪要（确定狗颈子1#隧洞、狗颈子2#隧洞的围岩等级、弃渣场位置及挡渣墙处理方案及砂石料场）（2016.3.8）</t>
  </si>
  <si>
    <t>四川城市建设【2016】5</t>
  </si>
  <si>
    <t>会议纪要（武德干渠施工中急需解决的问题）</t>
  </si>
  <si>
    <t>四川城市建设【2016】6</t>
  </si>
  <si>
    <t>会议纪要（武德干渠施工现场进行安全工作检查，针对现场存在的问题进行了安全检查会议）（2016.3.25）</t>
  </si>
  <si>
    <t>四川城市建设【2016】7</t>
  </si>
  <si>
    <t>会议纪要（武德干渠工程现阶段施工中急需解决的问题）（2016.3.29）</t>
  </si>
  <si>
    <t>四川城市建设【2016】8</t>
  </si>
  <si>
    <t>2016.4.9</t>
  </si>
  <si>
    <t>会议纪要（武德干渠工程图纸会审及设计技术交底）（2016.4.12）</t>
  </si>
  <si>
    <t>四川城市建设【2016】9</t>
  </si>
  <si>
    <t>会议纪要（解决弃渣场承载力不能满足设计施工图要求）（2016.5.23）</t>
  </si>
  <si>
    <t>四川城市建设【2016】10</t>
  </si>
  <si>
    <t>2016.6.1</t>
  </si>
  <si>
    <t>会议纪要（武德干渠工程现阶段施工中急需解决的问题）（2016.7.6）</t>
  </si>
  <si>
    <t>四川城市建设【2016】11</t>
  </si>
  <si>
    <t>第十一次监理例会纪要</t>
  </si>
  <si>
    <t>姚成仁</t>
  </si>
  <si>
    <t>2016.7.14</t>
  </si>
  <si>
    <t>2016-12号</t>
  </si>
  <si>
    <r>
      <rPr>
        <sz val="12"/>
        <rFont val="宋体"/>
        <charset val="134"/>
      </rPr>
      <t>2</t>
    </r>
    <r>
      <rPr>
        <sz val="12"/>
        <rFont val="宋体"/>
        <charset val="134"/>
      </rPr>
      <t>016-13号</t>
    </r>
  </si>
  <si>
    <r>
      <rPr>
        <sz val="12"/>
        <rFont val="宋体"/>
        <charset val="134"/>
      </rPr>
      <t>2</t>
    </r>
    <r>
      <rPr>
        <sz val="12"/>
        <rFont val="宋体"/>
        <charset val="134"/>
      </rPr>
      <t>016-14号</t>
    </r>
  </si>
  <si>
    <t>监理报告</t>
  </si>
  <si>
    <r>
      <rPr>
        <sz val="12"/>
        <rFont val="宋体"/>
        <charset val="134"/>
      </rPr>
      <t>2</t>
    </r>
    <r>
      <rPr>
        <sz val="12"/>
        <rFont val="宋体"/>
        <charset val="134"/>
      </rPr>
      <t>016-001号</t>
    </r>
  </si>
  <si>
    <t>会议纪要（陶田铺隧洞出口挂洞位置变更）</t>
  </si>
  <si>
    <t>2017第001期</t>
  </si>
  <si>
    <t>关于本工程进度严重滞后问题座谈会议纪要</t>
  </si>
  <si>
    <t>2017.3.7</t>
  </si>
  <si>
    <t>2017\3\28</t>
  </si>
  <si>
    <t>工作联系会议纪要</t>
  </si>
  <si>
    <t>2017.3.22</t>
  </si>
  <si>
    <t>2017\4\9</t>
  </si>
  <si>
    <t>专题会议纪要（水井湾、汤水崖及扇子坝出口处的处理方法）</t>
  </si>
  <si>
    <t>2017.4.13召开</t>
  </si>
  <si>
    <t>2017.5.20</t>
  </si>
  <si>
    <t>专题会议纪要（岩头上隧洞洞脸塌方及新房子隧洞洞口排水处理）</t>
  </si>
  <si>
    <t>2017.4.28召开</t>
  </si>
  <si>
    <t>专题会议纪要（关于大坪头B隧洞出口洞口遇到松散岩层导致不能正常挂口的处理方案）</t>
  </si>
  <si>
    <t>2017.5.12召开</t>
  </si>
  <si>
    <t>专题会议纪要（朱家沟倒虹吸管设计变更及新增12个弃渣场的参建各方联合审核）</t>
  </si>
  <si>
    <t>2017.5.19召开</t>
  </si>
  <si>
    <t>专题会议纪要（关于大坪头B隧洞进口洞顶保护层薄且是强风化层和自然堆积层不适宜及右侧边坡是否需要支护的处理方案）</t>
  </si>
  <si>
    <t>2017.5.22召开</t>
  </si>
  <si>
    <t>专题会议纪要（朱家沟倒虹吸管工程变更的会审会）</t>
  </si>
  <si>
    <t>2017.5.25召开</t>
  </si>
  <si>
    <t>会议纪要（水工2、3明渠、渡槽变暗渠）</t>
  </si>
  <si>
    <t>2017.6.4召开</t>
  </si>
  <si>
    <t>2017.6.10</t>
  </si>
  <si>
    <t>专题会议纪要（关于冷杉湾弃渣场问题）</t>
  </si>
  <si>
    <t>2017.6.20召开</t>
  </si>
  <si>
    <t>会议纪要（质量、进度、安全、投资）</t>
  </si>
  <si>
    <t>2017.6.16召开</t>
  </si>
  <si>
    <t>2017.6.24</t>
  </si>
  <si>
    <t>会议纪要（关于后沟水库武德干渠 工程明渠变暗渠调整现场踏勘及其他现场会议）</t>
  </si>
  <si>
    <t>2017.6.27召开</t>
  </si>
  <si>
    <t>设计单位有盖章</t>
  </si>
  <si>
    <t>会议纪要（各责任主体对汤水岩危岩处理土石分界线现场议定50厘米及明确施工单位以土石方量做现场签证）</t>
  </si>
  <si>
    <t>2017.7.7</t>
  </si>
  <si>
    <t>关于后沟水库武德干渠工程荒坡隧洞内外垮方经各参建单位现场踏勘并形成现场会议纪要</t>
  </si>
  <si>
    <t>2017.7.19召开</t>
  </si>
  <si>
    <t>现场踏勘会议纪要（明暗渠局部变更）</t>
  </si>
  <si>
    <t>现场踏勘会议纪要（荒坡弃渣场挡土墙向内移20米）</t>
  </si>
  <si>
    <t>2017.8.5</t>
  </si>
  <si>
    <t>2017.8.9</t>
  </si>
  <si>
    <t>武德干渠8月安全大检查会议纪要</t>
  </si>
  <si>
    <t>2017.7.28召开</t>
  </si>
  <si>
    <t>筠连县后沟水库武德干渠工程朱家沟倒虹管管材长度变化监理专题会议纪要</t>
  </si>
  <si>
    <t>2017.8.8召开</t>
  </si>
  <si>
    <t>2017.8.24</t>
  </si>
  <si>
    <t>2017.8.18召开</t>
  </si>
  <si>
    <t>2017.8.29</t>
  </si>
  <si>
    <t>专题会议纪要（施工现场部份渠线处理方案）</t>
  </si>
  <si>
    <t>2017.8.29召开</t>
  </si>
  <si>
    <t>会议纪要（荒坡隧洞洞脸垮塌部分采用钢支撑永久支护，并用C20埋石砼填筑）</t>
  </si>
  <si>
    <t>2017.9.20</t>
  </si>
  <si>
    <t>会议纪要（水工ⅢK18+760~k18+830段增加M7.5浆砌块石）</t>
  </si>
  <si>
    <t>2017.8.28召开</t>
  </si>
  <si>
    <t>会议纪要（大坪头B隧洞K2+038~K2+048段增加钢支撑永久支护及浆砌石回填）</t>
  </si>
  <si>
    <t>2017.9、1召开</t>
  </si>
  <si>
    <t>会议纪要（荒坡隧洞K12+175~1K2+145段增加钢支撑永久支护做法同狗颈子2#隧洞）</t>
  </si>
  <si>
    <t>2017.9。2召开</t>
  </si>
  <si>
    <t>会议纪要（大坪头B隧洞K2+038~K2+028段增加钢支撑永久支护）</t>
  </si>
  <si>
    <t>2017.9.7召开</t>
  </si>
  <si>
    <t>会议纪要（水井湾及汤水岩细节处理）</t>
  </si>
  <si>
    <t>2017/9/14召开</t>
  </si>
  <si>
    <t>会议纪要（关于倒虹管安装和K3+500处高边坡处理）</t>
  </si>
  <si>
    <t>2017/9/25召开</t>
  </si>
  <si>
    <t>2017.10.</t>
  </si>
  <si>
    <t>现场专题会议纪要（岩头上隧洞架设钢支撑）</t>
  </si>
  <si>
    <t>2017/10/9召开</t>
  </si>
  <si>
    <t>现场专题会议纪要（新房子隧洞架设钢支撑）</t>
  </si>
  <si>
    <t>2017/10/10召开</t>
  </si>
  <si>
    <t>现场专题会议纪要（因图纸变更造成的作废的工程量确定由各方现场收方）</t>
  </si>
  <si>
    <t>2017/10/13召开</t>
  </si>
  <si>
    <t>现场专题会议纪要（K9+687~K9+727明渠变暗渠）</t>
  </si>
  <si>
    <t>2017/10/18召开</t>
  </si>
  <si>
    <t>现场专题会议纪要（K5+400~K5+565微调及汤水岩增加M7.5浆砌块石）</t>
  </si>
  <si>
    <t>现场专题会议纪要（K5+400~K5+565微调）</t>
  </si>
  <si>
    <t>2017/10/24召开</t>
  </si>
  <si>
    <t>现场专题会议纪要（荒坡隧洞出口增加永久钢支撑）</t>
  </si>
  <si>
    <t>2017/9/27召开</t>
  </si>
  <si>
    <t>现场专题会议纪要（岩头上隧洞出口增加永久钢支撑）</t>
  </si>
  <si>
    <t>2017/9/20召开</t>
  </si>
  <si>
    <t>现场专题会议纪要（扇子坝隧洞出口增加永久钢支撑）</t>
  </si>
  <si>
    <t>2017/9/22召开</t>
  </si>
  <si>
    <t>现场专题会议纪要（荒坡隧洞K12+175.898处换填）</t>
  </si>
  <si>
    <t>现场专题会议纪要（大坪头隧洞出口增加永久钢支撑）</t>
  </si>
  <si>
    <t>2017/9/26召开</t>
  </si>
  <si>
    <t>现场专题会议纪要（水工ⅡⅢ明渠变暗渠1808.971米及明渠部分增加浆砌块石支挡）</t>
  </si>
  <si>
    <t>2017/6/27召开</t>
  </si>
  <si>
    <t>现场专题会议纪要（水工3暗渠跨公路和倒虹管修浆砌块石）</t>
  </si>
  <si>
    <t>2017/12/25召开</t>
  </si>
  <si>
    <t>倒虹管弯管询价报告</t>
  </si>
  <si>
    <t>2017/7/28召开</t>
  </si>
  <si>
    <t>2017纪要10－27</t>
  </si>
  <si>
    <t>监理会议纪要</t>
  </si>
  <si>
    <t>2017/10/31召开</t>
  </si>
  <si>
    <t>2017/11/11召开</t>
  </si>
  <si>
    <t>2017/11/24召开</t>
  </si>
  <si>
    <t>2017、12、5</t>
  </si>
  <si>
    <t>2018.1.4召开</t>
  </si>
  <si>
    <t>2018.3.5召开</t>
  </si>
  <si>
    <t>2018.3.9</t>
  </si>
  <si>
    <t>2018.4.4召开</t>
  </si>
  <si>
    <t>2018.4.10</t>
  </si>
  <si>
    <t>现场会议纪要（朱家沟倒虹管51号镇墩下修建浆砌块石挡墙）</t>
  </si>
  <si>
    <t>2018.1.6召开</t>
  </si>
  <si>
    <t xml:space="preserve">  </t>
  </si>
  <si>
    <t>会议纪要（山溪渡槽及新增堆石坝渣场施工技术方案优化会议）</t>
  </si>
  <si>
    <t>2018年5月8日召开</t>
  </si>
  <si>
    <t>会议纪要（金属结构定货，加快扫尾工作、迎接电视台录制协助）</t>
  </si>
  <si>
    <t>武德干渠文件目录G-08号文件盒</t>
  </si>
  <si>
    <t>序  号</t>
  </si>
  <si>
    <t>监理通知</t>
  </si>
  <si>
    <t>001</t>
  </si>
  <si>
    <t>武德项目部</t>
  </si>
  <si>
    <t>2015.8.11</t>
  </si>
  <si>
    <t>监理通知单回复单</t>
  </si>
  <si>
    <t>01</t>
  </si>
  <si>
    <t>002</t>
  </si>
  <si>
    <t>02</t>
  </si>
  <si>
    <t>003</t>
  </si>
  <si>
    <t>004</t>
  </si>
  <si>
    <t>监理回复单</t>
  </si>
  <si>
    <t>04</t>
  </si>
  <si>
    <t>2015.10.19</t>
  </si>
  <si>
    <t>005</t>
  </si>
  <si>
    <t>2015.8.29</t>
  </si>
  <si>
    <t>批复表</t>
  </si>
  <si>
    <t>第一次工地例会报告</t>
  </si>
  <si>
    <t>2015.4.16</t>
  </si>
  <si>
    <t>监理联系单</t>
  </si>
  <si>
    <t>2016.1.31</t>
  </si>
  <si>
    <t>监理通知（近期工作安排）</t>
  </si>
  <si>
    <t>001号</t>
  </si>
  <si>
    <t>监理通知（进度控制和安全管理）</t>
  </si>
  <si>
    <t>004号</t>
  </si>
  <si>
    <t>监理机构工作联系单</t>
  </si>
  <si>
    <t>005号</t>
  </si>
  <si>
    <t>2016.3.31</t>
  </si>
  <si>
    <t>监理通知（工程施工中的质量、安全和事中控制）</t>
  </si>
  <si>
    <t>006号</t>
  </si>
  <si>
    <t>2016.6.10</t>
  </si>
  <si>
    <t>2016.6.25回复监理（5份）</t>
  </si>
  <si>
    <t>007号</t>
  </si>
  <si>
    <t>2016.8.25</t>
  </si>
  <si>
    <t>监理通知及回复</t>
  </si>
  <si>
    <t>8号</t>
  </si>
  <si>
    <t>安全隐患整改通知书</t>
  </si>
  <si>
    <t>监理机构联系函</t>
  </si>
  <si>
    <t>2017-001</t>
  </si>
  <si>
    <t>2017.4.8</t>
  </si>
  <si>
    <t>2017-002</t>
  </si>
  <si>
    <t>监理通知回复单</t>
  </si>
  <si>
    <t>2017.5.7</t>
  </si>
  <si>
    <t>2017.6.4</t>
  </si>
  <si>
    <t>2017.6.19</t>
  </si>
  <si>
    <t>2017.7.21</t>
  </si>
  <si>
    <t>2017.8.8</t>
  </si>
  <si>
    <t>整改通知</t>
  </si>
  <si>
    <t>2017.9.30</t>
  </si>
  <si>
    <t>2017.10.10</t>
  </si>
  <si>
    <t>2017通知10－25</t>
  </si>
  <si>
    <t>2017－1212－1</t>
  </si>
  <si>
    <t>2017、12、13</t>
  </si>
  <si>
    <t>2017－1212－2</t>
  </si>
  <si>
    <t>2017－1212－3</t>
  </si>
  <si>
    <t>2017－1212－4</t>
  </si>
  <si>
    <t>2017－1215－1</t>
  </si>
  <si>
    <t>2017、12、22</t>
  </si>
  <si>
    <t>2017－1215－2</t>
  </si>
  <si>
    <t>2017－1221</t>
  </si>
  <si>
    <t>新增或紧急工程通知</t>
  </si>
  <si>
    <t>2017工通001</t>
  </si>
  <si>
    <t>2017工通002</t>
  </si>
  <si>
    <t>2017工通003</t>
  </si>
  <si>
    <t>2017.9.2</t>
  </si>
  <si>
    <t>2018工通001</t>
  </si>
  <si>
    <t>2018.1.19</t>
  </si>
  <si>
    <t>2018工通002</t>
  </si>
  <si>
    <t>2018.3.28</t>
  </si>
  <si>
    <t>20180319号</t>
  </si>
  <si>
    <t>2018.4.20</t>
  </si>
  <si>
    <t>20180420号</t>
  </si>
  <si>
    <t>20180423号</t>
  </si>
  <si>
    <t>2018.4.23</t>
  </si>
  <si>
    <t>20180724号</t>
  </si>
  <si>
    <t>武德干渠文件目录G-10号文件盒</t>
  </si>
  <si>
    <t>接受单位</t>
  </si>
  <si>
    <t>接受人
签字</t>
  </si>
  <si>
    <t>文件
盒号</t>
  </si>
  <si>
    <t>施工组织设计/(专项)施工方案报审表（防洪度汛方案）</t>
  </si>
  <si>
    <t>夏秋</t>
  </si>
  <si>
    <t>防洪度汛方案</t>
  </si>
  <si>
    <t>应急抢险预案</t>
  </si>
  <si>
    <t>环保、水保措施和方案</t>
  </si>
  <si>
    <t>瓦斯爆炸施工安全应急预案</t>
  </si>
  <si>
    <t>隧洞施工安全应急预案</t>
  </si>
  <si>
    <t>群体性突发事件应急预案</t>
  </si>
  <si>
    <t>防洪度汛专项施工方案</t>
  </si>
  <si>
    <t>13</t>
  </si>
  <si>
    <t xml:space="preserve">武德干渠项目部 </t>
  </si>
  <si>
    <t>2016.3.14</t>
  </si>
  <si>
    <t>2016防洪应急抢险预案</t>
  </si>
  <si>
    <t>014</t>
  </si>
  <si>
    <t>应急抢险预案（筠连县后沟水库）</t>
  </si>
  <si>
    <t>注：无返回日期的文件即为上报后未批复的</t>
  </si>
  <si>
    <t>武德干渠文件目录J-01号文件盒</t>
  </si>
  <si>
    <t>2015进场01</t>
  </si>
  <si>
    <t>2014.12.31</t>
  </si>
  <si>
    <t>从合同文件盒转</t>
  </si>
  <si>
    <t>合同项目开工令</t>
  </si>
  <si>
    <t>2份</t>
  </si>
  <si>
    <t>2015.5.26</t>
  </si>
  <si>
    <t>工程开工报审表</t>
  </si>
  <si>
    <t>现场组织机构及主要人员报审表</t>
  </si>
  <si>
    <t>项目管理机构组成表</t>
  </si>
  <si>
    <t>营业执照（副本）</t>
  </si>
  <si>
    <t>安全生产许可证（副本）</t>
  </si>
  <si>
    <t>中华人民共和国组织机构代码证（副本）</t>
  </si>
  <si>
    <t>税务登记证（副本）</t>
  </si>
  <si>
    <t>四川省施工企业工程规费计取证</t>
  </si>
  <si>
    <t>开户许可证</t>
  </si>
  <si>
    <t>项目经理温淳（二级建造师注册证书复印件、项目负责人安B证复印件、中级工程师证复印件、身份证复印件、毕业证复印件、保险复印件）</t>
  </si>
  <si>
    <t>技术负责人张明全（身份证复印件、高级工程师证复印件、保险复印件）</t>
  </si>
  <si>
    <t>施工员张小渠（岗位证书复印件、保险复印件）</t>
  </si>
  <si>
    <t>材料员田和剑（岗位证书复印件、保险复印件）</t>
  </si>
  <si>
    <t>质检员丁祥（岗位证书复印件、保险复印件）</t>
  </si>
  <si>
    <t>安全员田小东（岗位证书复印件、水川建安C证复印件、保险复印件）</t>
  </si>
  <si>
    <t>安全工程师韩艳丽（安全工程师证复印件、川建安C证复印件、保险复印件）</t>
  </si>
  <si>
    <t>造价员刘绍兰（造价员资格证书证复印件、保险复印件）</t>
  </si>
  <si>
    <t>造价工程师陈宏伟（造价工程师证书证复印件、保险复印件）</t>
  </si>
  <si>
    <t>造价工程师李振卿（造价工程师证书证复印件、保险复印件）</t>
  </si>
  <si>
    <t>工程材料、构配件、设备报审表</t>
  </si>
  <si>
    <t>材料进场汇总表及附件</t>
  </si>
  <si>
    <t>机械设备汇总表及附件</t>
  </si>
  <si>
    <t>现场组织机构施工人员汇总表及附件</t>
  </si>
  <si>
    <t>施工进度计划报审表</t>
  </si>
  <si>
    <t>施工组织设计/（专项）施工方案报审表</t>
  </si>
  <si>
    <t>施工组织设计</t>
  </si>
  <si>
    <t>施工进度计划报审表、施工进度计划审批表、施工工期进度计划编制说明及横道图</t>
  </si>
  <si>
    <t>筠连县水务局水利工程质量监督站关于筠连县后沟水库武德干渠工程施工标段项目划分的批复</t>
  </si>
  <si>
    <t>筠水质监[2016]16号</t>
  </si>
  <si>
    <t>1份复印件</t>
  </si>
  <si>
    <t>2016.7.9</t>
  </si>
  <si>
    <t>筠连县水务局关于同意更换项目经理的批复及施工单位报告及周龙虎二建证书</t>
  </si>
  <si>
    <t>四川省君源水电建设有限公司关于组建武德干渠项目部的通知</t>
  </si>
  <si>
    <t>2015.1.6</t>
  </si>
  <si>
    <t>武德干渠文件目录J-02号文件盒</t>
  </si>
  <si>
    <t>发件人</t>
  </si>
  <si>
    <t>分部工程申请表、分部工程开工通知（狗颈子2#隧洞分部工程）</t>
  </si>
  <si>
    <t>谢燕</t>
  </si>
  <si>
    <t>2015.6.9</t>
  </si>
  <si>
    <t>分部工程申请表、分部工程开工通知（岩头上隧洞分部工程）</t>
  </si>
  <si>
    <t>分部工程申请表、分部工程开工通知（狗颈子1#隧洞分部工程）</t>
  </si>
  <si>
    <t>施工组织设计/(专项)施工方案报审表（狗颈子2#隧洞、岩头上隧洞、狗颈子1#隧洞分部工程）</t>
  </si>
  <si>
    <t>狗颈子2#隧洞、岩头上隧洞、狗颈子1#隧洞分部工程隧洞专项施工方案</t>
  </si>
  <si>
    <t>施工组织设计/(专项)施工方案报审表及施工质量保证及控制专项方案</t>
  </si>
  <si>
    <t>专项施工方案报审表（狗颈子2#隧洞岩石破碎带处理方案）</t>
  </si>
  <si>
    <t>8</t>
  </si>
  <si>
    <t>2016.2.26</t>
  </si>
  <si>
    <t>狗颈子1#洞室开挖隐蔽资料（K12+598.1583-K12+748.9514)</t>
  </si>
  <si>
    <t>2016.3.21</t>
  </si>
  <si>
    <t>2016.4.26</t>
  </si>
  <si>
    <t>分部工程开工申请表（冷杉湾隧洞）</t>
  </si>
  <si>
    <t>分开002</t>
  </si>
  <si>
    <t>2016.4.22</t>
  </si>
  <si>
    <t>施工方案报审表（冷杉湾隧洞专项施工方案）</t>
  </si>
  <si>
    <t>10</t>
  </si>
  <si>
    <t>施工进度计划报审表（冷杉湾隧洞专项施工方案进度计划）</t>
  </si>
  <si>
    <t>分部工程开工通知（水工Ⅱ渠道）</t>
  </si>
  <si>
    <t>分开001</t>
  </si>
  <si>
    <t>2016.4.18</t>
  </si>
  <si>
    <t>分部工程开工申请表（水工Ⅱ渠道）</t>
  </si>
  <si>
    <t>施工方案报审表（水工Ⅱ渠道）</t>
  </si>
  <si>
    <t>009</t>
  </si>
  <si>
    <t>施工进度计划报审表（水工Ⅱ渠道）</t>
  </si>
  <si>
    <t>施工设备进场报验单（水工Ⅱ渠道）</t>
  </si>
  <si>
    <t>施工主要人员报审表（水工Ⅱ渠道）</t>
  </si>
  <si>
    <t>岩头上弃渣场挡渣挡土墙施工方案</t>
  </si>
  <si>
    <t>011</t>
  </si>
  <si>
    <t>分部工程开工申请表（兔儿苞隧洞）</t>
  </si>
  <si>
    <t>分开003</t>
  </si>
  <si>
    <t>施工方案报审表（兔儿苞隧洞专项施工方案）</t>
  </si>
  <si>
    <t>12</t>
  </si>
  <si>
    <t>施工进度计划报审表（兔儿苞隧洞）</t>
  </si>
  <si>
    <t>施工设备进场报验单（兔儿苞隧洞）</t>
  </si>
  <si>
    <t>施工主要人员报审表（兔儿苞隧洞）</t>
  </si>
  <si>
    <t>分部工程开工通知（兔儿苞隧洞）</t>
  </si>
  <si>
    <t>分开004号</t>
  </si>
  <si>
    <t>分部工程开工申请表（荒坡隧洞）</t>
  </si>
  <si>
    <t>施工方案报审表（荒坡隧洞专项施工方案）</t>
  </si>
  <si>
    <t>013</t>
  </si>
  <si>
    <t>施工进度计划报审表（荒坡隧洞）</t>
  </si>
  <si>
    <t>006</t>
  </si>
  <si>
    <t>施工设备进场报验单（荒坡隧洞）</t>
  </si>
  <si>
    <t>施工主要人员报审表（荒坡隧洞）</t>
  </si>
  <si>
    <t>分部工程开工通知（荒坡隧洞）</t>
  </si>
  <si>
    <t>分开003号</t>
  </si>
  <si>
    <t>狗颈子弃渣场专项施工方案</t>
  </si>
  <si>
    <t>兔儿包引水隧洞内局部段溶洞塌方透水施工方案）</t>
  </si>
  <si>
    <t>018</t>
  </si>
  <si>
    <t>2016.8.28</t>
  </si>
  <si>
    <t>水工Ⅲ渠道开工通知及申请表、施工方案及报审表</t>
  </si>
  <si>
    <t>分开005</t>
  </si>
  <si>
    <r>
      <rPr>
        <sz val="12"/>
        <rFont val="宋体"/>
        <charset val="134"/>
      </rPr>
      <t>水工ⅢK</t>
    </r>
    <r>
      <rPr>
        <sz val="12"/>
        <rFont val="宋体"/>
        <charset val="134"/>
      </rPr>
      <t>18+615.7~K18+830.35段(汤水岩)渠线危岩处理施工方案</t>
    </r>
  </si>
  <si>
    <t>施工进度计划报审表（水工1渠道K0+000~K0+262.636）</t>
  </si>
  <si>
    <t>008</t>
  </si>
  <si>
    <t>2016\12\26</t>
  </si>
  <si>
    <t>分部工程开工申请表（水工Ⅰ渠道K0+000~K0+262.636）</t>
  </si>
  <si>
    <t>分开006</t>
  </si>
  <si>
    <t>2016\12\6</t>
  </si>
  <si>
    <t>2016\2\28</t>
  </si>
  <si>
    <t>分部开工通知（水工Ⅰ渠道K0+000~K0+262.636）</t>
  </si>
  <si>
    <t>2017分开001</t>
  </si>
  <si>
    <t>023</t>
  </si>
  <si>
    <t>杜家村隧洞弃渣场 专项施工方案</t>
  </si>
  <si>
    <t>024</t>
  </si>
  <si>
    <t>兔儿包弃渣场施工方案）</t>
  </si>
  <si>
    <t>025</t>
  </si>
  <si>
    <t>荒坡弃渣场施工方案</t>
  </si>
  <si>
    <t>026</t>
  </si>
  <si>
    <t>小塝子隧洞出口弃渣场施工方案</t>
  </si>
  <si>
    <t>027</t>
  </si>
  <si>
    <t>小塝子隧洞进口弃渣场施工方案</t>
  </si>
  <si>
    <t>028</t>
  </si>
  <si>
    <t>扇子坝隧洞出口弃渣场施工方案</t>
  </si>
  <si>
    <t>029</t>
  </si>
  <si>
    <t>施工设备进场报验单（水工Ⅰ渠道）</t>
  </si>
  <si>
    <t>2017设备008</t>
  </si>
  <si>
    <t>2017\5\31</t>
  </si>
  <si>
    <t>新房子隧洞开工通知及开工方案和审批表</t>
  </si>
  <si>
    <t>2017分开002</t>
  </si>
  <si>
    <t>岩头上隧洞开工通知及开工方案和审批表</t>
  </si>
  <si>
    <t>2017分开003</t>
  </si>
  <si>
    <t>陶田铺隧洞开工通知及开工方案和审批表</t>
  </si>
  <si>
    <t>2017分开004</t>
  </si>
  <si>
    <t>杜家村隧洞开工通知及开工方案和审批表</t>
  </si>
  <si>
    <t>2017分开005</t>
  </si>
  <si>
    <t>大坪头B隧洞开工通知及开工方案和审批表</t>
  </si>
  <si>
    <t>2017分开006</t>
  </si>
  <si>
    <t>大坪头B隧洞岩石破碎地带专项施工方案</t>
  </si>
  <si>
    <t>035</t>
  </si>
  <si>
    <t>陶田铺弃渣场施工方案</t>
  </si>
  <si>
    <t>036</t>
  </si>
  <si>
    <t>童家崖隧洞进口弃渣场施工方案</t>
  </si>
  <si>
    <t>037</t>
  </si>
  <si>
    <t>大坪头B隧洞出口弃渣场施工方案</t>
  </si>
  <si>
    <t>038</t>
  </si>
  <si>
    <t>陶田铺隧洞出口边坡处理施工方案</t>
  </si>
  <si>
    <t>039</t>
  </si>
  <si>
    <t>汤水岩弃料处理专项施工方案</t>
  </si>
  <si>
    <t>2017技案001号</t>
  </si>
  <si>
    <t>汤水岩弃料处理安全保障措施</t>
  </si>
  <si>
    <t>2017技案002号</t>
  </si>
  <si>
    <t>荒坡隧洞进口危岩处理施工技术方案</t>
  </si>
  <si>
    <t>2017技案003号</t>
  </si>
  <si>
    <t>边坡垮塌紧急处置方案</t>
  </si>
  <si>
    <t>2017技案005号</t>
  </si>
  <si>
    <t>渡槽施工技术方案申报表</t>
  </si>
  <si>
    <t>2018技案002号</t>
  </si>
  <si>
    <t>2018.8.8</t>
  </si>
  <si>
    <t>金久倒虹吸管施工技术方案申报表</t>
  </si>
  <si>
    <t>2018技案001号</t>
  </si>
  <si>
    <t>武德干渠文件目录J-05号文件盒</t>
  </si>
  <si>
    <t>开会日期</t>
  </si>
  <si>
    <t xml:space="preserve">文件盒 </t>
  </si>
  <si>
    <t>图纸会审纪录</t>
  </si>
  <si>
    <t>【2016】0011</t>
  </si>
  <si>
    <t>2016.1.18</t>
  </si>
  <si>
    <t>【2016】0012</t>
  </si>
  <si>
    <t>武德干渠文件目录J-07号文件盒</t>
  </si>
  <si>
    <t>设计修改通知单（荒坡隧道出口至狗颈子2#隧洞段明暗渠横剖面图图中标注渠道边坡开挖坡比与说明部分渠道边边坡开挖坡比存在不统一，进行调整）（2015.9.6）</t>
  </si>
  <si>
    <t>修字01号</t>
  </si>
  <si>
    <t>设计修改通知单（水保工程中排水管直径由1500mm调整为1200mm。）（2016.1.8）</t>
  </si>
  <si>
    <t>2016.1.27</t>
  </si>
  <si>
    <t>设计修改通知单（狗颈子1#隧洞进出口位置进行调整）（2016.1.11）</t>
  </si>
  <si>
    <t>修字02号</t>
  </si>
  <si>
    <t>设计修改通知单（水工Ⅲ图纸不完善）（2016.1.27）</t>
  </si>
  <si>
    <t>修字03号</t>
  </si>
  <si>
    <t>设计修改通知单（水工Ⅱ图纸补充和完善）（2016.1.28）</t>
  </si>
  <si>
    <t>设计修改通知单（水工Ⅰ图纸替换）（2016.2.28）</t>
  </si>
  <si>
    <t>修字05号</t>
  </si>
  <si>
    <t>设计修改通知单（金久倒虹吸管和岩头上隧洞进口位置微调</t>
  </si>
  <si>
    <t>设计修改通知单（倒虹吸管管径变更）</t>
  </si>
  <si>
    <t>2016.7.</t>
  </si>
  <si>
    <t>项目部未盖章</t>
  </si>
  <si>
    <t>朱家沟倒虹吸管修改（倒虹吸管涉及房屋、坟地、公路的线路修改）</t>
  </si>
  <si>
    <t>2016.9.16</t>
  </si>
  <si>
    <t>设计修改通知单（优化矩形暗渠设计）</t>
  </si>
  <si>
    <t>修字06号</t>
  </si>
  <si>
    <t>设计修改通知单（岩头上弃渣场挡墙边坡排水沟出口保护区）</t>
  </si>
  <si>
    <t>2016.5.12版</t>
  </si>
  <si>
    <t>水工3明确设计及现场布置优化</t>
  </si>
  <si>
    <t>修字04号</t>
  </si>
  <si>
    <t xml:space="preserve">设计修改通知单（狗颈子1#隧洞结构尺寸参照狗颈子2#隧洞）
</t>
  </si>
  <si>
    <t xml:space="preserve">设计修改通知单（取消梯形明渠12厘米厚钢筋砼盖板）
</t>
  </si>
  <si>
    <t>修字07号</t>
  </si>
  <si>
    <t>设计修改通知单（明确设计，明渠变暗渠，图纸替换）</t>
  </si>
  <si>
    <t>设计修改通知单（优化设计）</t>
  </si>
  <si>
    <t>水工Ⅰ修字08号</t>
  </si>
  <si>
    <t>水工Ⅰ修字09号</t>
  </si>
  <si>
    <t>设计修改通知单（水工Ⅱ图纸补充与完善）</t>
  </si>
  <si>
    <t>2017.2.20</t>
  </si>
  <si>
    <t>设计修改通知单（优化金久倒虹吸管镇墩钢筋设计）</t>
  </si>
  <si>
    <t>水工Ⅰ修字10号</t>
  </si>
  <si>
    <t>设计修改通知单（修改原图中打印错误）</t>
  </si>
  <si>
    <t>水工Ⅰ修字11号</t>
  </si>
  <si>
    <t>设计修改通知单（HPB235变为HPB300，HRB335变为HRB400）</t>
  </si>
  <si>
    <t>水工Ⅰ修字12号</t>
  </si>
  <si>
    <t>2017.7.26</t>
  </si>
  <si>
    <t>渠线沉降缝调整及取消小塝子隧洞</t>
  </si>
  <si>
    <t>水工Ⅰ修字13号</t>
  </si>
  <si>
    <t>朱家沟倒虹吸管基础换填及进水池结构调整</t>
  </si>
  <si>
    <t>修字09号</t>
  </si>
  <si>
    <t>2017.11.17</t>
  </si>
  <si>
    <t>因孔明庙处暗渠变更为隧洞（暗渠位置确认）</t>
  </si>
  <si>
    <t>水工Ⅰ修字15号</t>
  </si>
  <si>
    <t>2018.1.9</t>
  </si>
  <si>
    <t>K6+201~K6+327处换填</t>
  </si>
  <si>
    <t>水工Ⅰ修字16号</t>
  </si>
  <si>
    <t>明确水工Ⅰ隧洞排水管细部结构形式和型号</t>
  </si>
  <si>
    <t>水工Ⅰ修字17号</t>
  </si>
  <si>
    <t>技术核定单（陶田铺隧洞出口洞脸及附近渠道边坡处理）</t>
  </si>
  <si>
    <t>技术核定单（汤水岩处处理措施）</t>
  </si>
  <si>
    <t>技术核定单（K1+395处渡槽变更为暗渠）</t>
  </si>
  <si>
    <t>技术核定单（桂花树隧洞出口处明渠变更为暗渠）</t>
  </si>
  <si>
    <t>关于设计图版本的工作联系点函及水工Ⅱ.Ⅲ的图册目录</t>
  </si>
  <si>
    <t>002号</t>
  </si>
  <si>
    <t>2016.12.1</t>
  </si>
  <si>
    <t>关于水工1段设计变更的工作联系函</t>
  </si>
  <si>
    <t>003号</t>
  </si>
  <si>
    <t>2016\12\11</t>
  </si>
  <si>
    <t>关于回复四川省君源2016-39号报告的事宜</t>
  </si>
  <si>
    <t>工作联系函</t>
  </si>
  <si>
    <t>工作联系函（杜家村弃渣场选址）</t>
  </si>
  <si>
    <t>水勘院</t>
  </si>
  <si>
    <t>工作联系函（桂花树隧洞出口分水节制闸做法）</t>
  </si>
  <si>
    <t>工作联系单（朱家沟倒虹管设计同意6米变5米）</t>
  </si>
  <si>
    <t>关于取消朱家沟倒虹管边侧的人行梯步和排水沟的事宜</t>
  </si>
  <si>
    <t>008号</t>
  </si>
  <si>
    <t>扫描件打印</t>
  </si>
  <si>
    <t>水工1图册目录</t>
  </si>
  <si>
    <t>水工2图册目录</t>
  </si>
  <si>
    <t>水工3图册目录</t>
  </si>
  <si>
    <t>中国烟草水源工程筠连县后沟水库武德干渠工程施工标段</t>
  </si>
  <si>
    <t>日  期</t>
  </si>
  <si>
    <t>武德干渠高程点
（电子版复印件）</t>
  </si>
  <si>
    <t>3页</t>
  </si>
  <si>
    <t>设计院</t>
  </si>
  <si>
    <t>工程测量控制点交桩记录表</t>
  </si>
  <si>
    <t>2015.5.8</t>
  </si>
  <si>
    <t>工程地形测量记录</t>
  </si>
  <si>
    <t>2015.5.24</t>
  </si>
  <si>
    <t>狗颈子1#-2#隧洞中
间沟渠段土石方开挖工程量（附平、部面图）</t>
  </si>
  <si>
    <t>测绘合同</t>
  </si>
  <si>
    <t>施工复测控制网点
资料</t>
  </si>
  <si>
    <t>2015.7.10</t>
  </si>
  <si>
    <t>武德高程点已作废</t>
  </si>
  <si>
    <t>2015.8.26</t>
  </si>
  <si>
    <t>原始地貌复测记录（干渠）</t>
  </si>
  <si>
    <t>1本</t>
  </si>
  <si>
    <t>2016.10.9</t>
  </si>
  <si>
    <t>原始地貌复测记录（水工3危岩处理）</t>
  </si>
  <si>
    <t>11页</t>
  </si>
  <si>
    <t>筠连后沟水库渠系GPS控制成果表</t>
  </si>
  <si>
    <t>4页</t>
  </si>
  <si>
    <t>渠道原始地形复测横断面图及土石方工程量统计表</t>
  </si>
  <si>
    <t>一本</t>
  </si>
  <si>
    <r>
      <rPr>
        <sz val="12"/>
        <rFont val="宋体"/>
        <charset val="134"/>
      </rPr>
      <t>2</t>
    </r>
    <r>
      <rPr>
        <sz val="12"/>
        <rFont val="宋体"/>
        <charset val="134"/>
      </rPr>
      <t>016、12、21</t>
    </r>
  </si>
  <si>
    <r>
      <rPr>
        <sz val="12"/>
        <rFont val="宋体"/>
        <charset val="134"/>
      </rPr>
      <t>盖章O</t>
    </r>
    <r>
      <rPr>
        <sz val="12"/>
        <rFont val="宋体"/>
        <charset val="134"/>
      </rPr>
      <t>K</t>
    </r>
  </si>
  <si>
    <t>武德干渠水工12016.04修较2016.03修增加工程量申报书及2016.04版渠道原始地形复测横断面图及土石方工程量统计表</t>
  </si>
  <si>
    <t>联合测量通知单（汤水岩弃料堆场）</t>
  </si>
  <si>
    <t>施工测量成果报验单（小塝子出口弃渣场）</t>
  </si>
  <si>
    <t>2017测量002</t>
  </si>
  <si>
    <t>施工测量成果报验单（汤水岩危岩弃料及弃渣场）</t>
  </si>
  <si>
    <t>2017测量003</t>
  </si>
  <si>
    <t>水工Ⅰ（2016.03修版图纸）K2+678~K2+757段渠线开挖现状</t>
  </si>
  <si>
    <t>1页</t>
  </si>
  <si>
    <t>施工测量成果报验单（杜家村隧洞出口洞脸）</t>
  </si>
  <si>
    <t>2017测量004</t>
  </si>
  <si>
    <t>2017.11.22</t>
  </si>
  <si>
    <t>施工测量成果报验单（杜家村隧洞进口洞门开挖地形）</t>
  </si>
  <si>
    <t>2017测量005</t>
  </si>
  <si>
    <t>朱家沟倒虹管原始地形测量及工程量计算书</t>
  </si>
  <si>
    <t>武德干渠文件目录J-03号文件盒</t>
  </si>
  <si>
    <t>水利水电工程质量委托检测合同书（原件）</t>
  </si>
  <si>
    <t>SCZD-JY-002</t>
  </si>
  <si>
    <t>一式4份</t>
  </si>
  <si>
    <t>正达检测公司</t>
  </si>
  <si>
    <t>水利水电工程质量委托检测合同书（复印件）</t>
  </si>
  <si>
    <t>一式2份</t>
  </si>
  <si>
    <t>《施工质量自检计划》的批复、《施工质量自检计划》报审表、延时报《施工质量自检计划》的情况说明、《施工质量自检计划》</t>
  </si>
  <si>
    <t>检测公司(营业执照副本、资质认定计量认证证书、资质等级证书川水质检资字第20130062号、资质等级证书川水质检资字第2012005号、税务登记证、中华人民共和国组织机构代码证)</t>
  </si>
  <si>
    <t>各4份</t>
  </si>
  <si>
    <t>检测公司(营业执照副本、资质认定计量认证证书、资质等级证书川水质检资字第20130062号、资质等级证书川水质检资字第2012005号、税务登记证、中华人民共和国组织机构代码证、蒲勇混凝土工程检测员证复印件、彭建混凝土工程检测员证复印件、段文菊混凝土工程检测员证复印件、陈杨混凝土工程检测员证复印件、蒲娟量测检测员证复印件、何志梅岩土工程检测员证复印件)</t>
  </si>
  <si>
    <t>钢纤维喷射混凝土配合比设计报告C25</t>
  </si>
  <si>
    <t>武德干渠-配合比-001</t>
  </si>
  <si>
    <t>一式5份</t>
  </si>
  <si>
    <t>抗渗混凝土配合比C15</t>
  </si>
  <si>
    <t>武德干渠-配合比-002</t>
  </si>
  <si>
    <t>抗渗混凝土配合比C20</t>
  </si>
  <si>
    <t>武德干渠-配合比-003</t>
  </si>
  <si>
    <t>普通混凝土配合比设计报告C25</t>
  </si>
  <si>
    <t>武德干渠-配合比-004</t>
  </si>
  <si>
    <t>喷射混凝土配合比设计报告C20</t>
  </si>
  <si>
    <t>武德干渠-配合比-005</t>
  </si>
  <si>
    <t>喷射混凝土配合比设计报告C25</t>
  </si>
  <si>
    <t>武德干渠-配合比-006</t>
  </si>
  <si>
    <t>砂浆配合比设计M7.5</t>
  </si>
  <si>
    <t>武德干渠-配合比-007</t>
  </si>
  <si>
    <t>砂浆配合比设计M20</t>
  </si>
  <si>
    <t>武德干渠-配合比-008</t>
  </si>
  <si>
    <t>普通混凝土配合比设计报告C20</t>
  </si>
  <si>
    <t>武德干渠-配合比-009</t>
  </si>
  <si>
    <t>水泥物理性能试验检测报告</t>
  </si>
  <si>
    <t>SL-001</t>
  </si>
  <si>
    <t>细集料试验检测报告</t>
  </si>
  <si>
    <t>筠连武干-细集料-002</t>
  </si>
  <si>
    <t>粗集料试验检测报告（碎石）</t>
  </si>
  <si>
    <t>粗集料试验检测报告（米石）</t>
  </si>
  <si>
    <t>MS-001</t>
  </si>
  <si>
    <t>普通混凝土配合比设计报告C15</t>
  </si>
  <si>
    <t>武德干渠-配合比-010</t>
  </si>
  <si>
    <t>一式6份</t>
  </si>
  <si>
    <t>2017.8.16</t>
  </si>
  <si>
    <t>抗渗混凝土配合比设计报告C15</t>
  </si>
  <si>
    <t>武德干渠-配合比-011</t>
  </si>
  <si>
    <t>武德干渠-配合比-012</t>
  </si>
  <si>
    <t>抗渗混凝土配合比设计报告C20</t>
  </si>
  <si>
    <t>武德干渠-配合比-013</t>
  </si>
  <si>
    <t>武德干渠-配合比-014</t>
  </si>
  <si>
    <t>武德干渠-配合比-015</t>
  </si>
  <si>
    <t>武德干渠-配合比-016</t>
  </si>
  <si>
    <t>抗渗混凝土配合比设计报告C25</t>
  </si>
  <si>
    <t>武德干渠-配合比-017</t>
  </si>
  <si>
    <t>武德干渠-配合比-018</t>
  </si>
  <si>
    <t>武德干渠-配合比-019</t>
  </si>
  <si>
    <t>SL-005</t>
  </si>
  <si>
    <t>一式3份</t>
  </si>
  <si>
    <t>另三份在冷杉弯隧洞</t>
  </si>
  <si>
    <t>筠连武干-细集料-006</t>
  </si>
  <si>
    <t>筠连武干-粗集料-006</t>
  </si>
  <si>
    <t>MS-010</t>
  </si>
  <si>
    <t>岩头上隧洞资料</t>
  </si>
  <si>
    <t xml:space="preserve">文件编号 </t>
  </si>
  <si>
    <t>部位</t>
  </si>
  <si>
    <t>强度/规格</t>
  </si>
  <si>
    <t>试验日期</t>
  </si>
  <si>
    <t>报告收到日期</t>
  </si>
  <si>
    <t>统计日期</t>
  </si>
  <si>
    <t>材料/构配件进场报验单</t>
  </si>
  <si>
    <t>2017材验001</t>
  </si>
  <si>
    <t>钢拱架</t>
  </si>
  <si>
    <t>10#</t>
  </si>
  <si>
    <t>筠连武干－细集料－007</t>
  </si>
  <si>
    <t>一式六份</t>
  </si>
  <si>
    <t>机制砂</t>
  </si>
  <si>
    <t>粗集料试验检测报告</t>
  </si>
  <si>
    <t>MS－005</t>
  </si>
  <si>
    <t>米石</t>
  </si>
  <si>
    <t>2017.4.10</t>
  </si>
  <si>
    <t>钢筋力学试验检测报告</t>
  </si>
  <si>
    <t>武德－钢筋－003</t>
  </si>
  <si>
    <t>HRB400E φ22</t>
  </si>
  <si>
    <t>武德－钢筋－021</t>
  </si>
  <si>
    <t>2017.8.15</t>
  </si>
  <si>
    <t>新房子隧洞资料</t>
  </si>
  <si>
    <t>筠连武干－细集料－011</t>
  </si>
  <si>
    <t>MS－009</t>
  </si>
  <si>
    <t>大坪头A隧洞资料</t>
  </si>
  <si>
    <t>大坪头B隧洞资料</t>
  </si>
  <si>
    <t>筠连武干－细集料－009</t>
  </si>
  <si>
    <t>MS－007</t>
  </si>
  <si>
    <t>童家崖隧洞资料</t>
  </si>
  <si>
    <t>扇子坝隧洞资料</t>
  </si>
  <si>
    <t>陶田铺隧洞资料</t>
  </si>
  <si>
    <t>筠连武干－细集料－008</t>
  </si>
  <si>
    <t>MS－006</t>
  </si>
  <si>
    <t>冷杉湾隧洞资料</t>
  </si>
  <si>
    <t>SL－005</t>
  </si>
  <si>
    <t>3份</t>
  </si>
  <si>
    <t>P。C42.5</t>
  </si>
  <si>
    <t>2017.5.20－2016.6.20</t>
  </si>
  <si>
    <t>ML－010</t>
  </si>
  <si>
    <t>筠连武干－粗集料010</t>
  </si>
  <si>
    <t>碎石</t>
  </si>
  <si>
    <t>筠连武干－细集料015</t>
  </si>
  <si>
    <t>武德－钢筋－004</t>
  </si>
  <si>
    <t>2017.5.15</t>
  </si>
  <si>
    <t>武德－钢筋－020</t>
  </si>
  <si>
    <t>武德－钢筋－014</t>
  </si>
  <si>
    <t>HRB400E φ12</t>
  </si>
  <si>
    <t>没报验</t>
  </si>
  <si>
    <t>文件主要内容</t>
  </si>
  <si>
    <t>四川君源2017材验004</t>
  </si>
  <si>
    <t>钢筋HRB400E Φ22  2017.5.10进场</t>
  </si>
  <si>
    <t>有复检验报告</t>
  </si>
  <si>
    <t>四川君源2017材验005</t>
  </si>
  <si>
    <t>橡胶止水带  652型 2017年5月26进场</t>
  </si>
  <si>
    <t>四川君源2017材验006</t>
  </si>
  <si>
    <t>碎石、米石、机制砂  自产</t>
  </si>
  <si>
    <t>四川君源2017材验007</t>
  </si>
  <si>
    <t>水泥PC42.4  2017.5.14进场，</t>
  </si>
  <si>
    <t>四川君源2017材验026</t>
  </si>
  <si>
    <t>水泥PC42.4  2017.7.5进场，</t>
  </si>
  <si>
    <t>荒坡隧洞资料</t>
  </si>
  <si>
    <t>MS-011</t>
  </si>
  <si>
    <t>未报验</t>
  </si>
  <si>
    <t>狗颈子1#隧洞工序资料</t>
  </si>
  <si>
    <t>强度</t>
  </si>
  <si>
    <t>混凝土抗压强度试验检测报告</t>
  </si>
  <si>
    <t>武德-THY-003</t>
  </si>
  <si>
    <t>出口洞脸喷锚支护</t>
  </si>
  <si>
    <t>C20同条件</t>
  </si>
  <si>
    <t>武德-THY-005</t>
  </si>
  <si>
    <t>C20标养</t>
  </si>
  <si>
    <t>2016.4.13</t>
  </si>
  <si>
    <t>武德武干-细集料-003</t>
  </si>
  <si>
    <t>中砂</t>
  </si>
  <si>
    <t>MS-003</t>
  </si>
  <si>
    <t>P042.5</t>
  </si>
  <si>
    <t>力学性能检测报告</t>
  </si>
  <si>
    <t>出口洞脸喷锚支护锚固拉拔力</t>
  </si>
  <si>
    <t>50KN</t>
  </si>
  <si>
    <t>2016、4、15</t>
  </si>
  <si>
    <t>洞脸支护单元工程施工质量验收评定表</t>
  </si>
  <si>
    <t>洞室开挖单元工程资料</t>
  </si>
  <si>
    <t>隧洞洞挖测量记录表</t>
  </si>
  <si>
    <t>狗颈子2#隧洞工序资料</t>
  </si>
  <si>
    <t>取样日期</t>
  </si>
  <si>
    <t>武德-15-003</t>
  </si>
  <si>
    <t>进口洞脸喷锚支护</t>
  </si>
  <si>
    <t>2015.07.15</t>
  </si>
  <si>
    <t>2015.08.12</t>
  </si>
  <si>
    <t>武德-15-002</t>
  </si>
  <si>
    <t>2015.08.09</t>
  </si>
  <si>
    <t>钢筋力学性能试验检测报告</t>
  </si>
  <si>
    <t>武德-钢筋-002</t>
  </si>
  <si>
    <t xml:space="preserve">HRB400  φ22  φ10  </t>
  </si>
  <si>
    <t>2015.07.02</t>
  </si>
  <si>
    <t>2015.07.13</t>
  </si>
  <si>
    <t>SL-002</t>
  </si>
  <si>
    <t>PO　42.5</t>
  </si>
  <si>
    <t>2015.07.03</t>
  </si>
  <si>
    <t>2015.08.14</t>
  </si>
  <si>
    <t>MS-002</t>
  </si>
  <si>
    <t>2015.07.8</t>
  </si>
  <si>
    <t>进口洞脸喷锚支护钢筋锚固</t>
  </si>
  <si>
    <r>
      <rPr>
        <sz val="12"/>
        <rFont val="宋体"/>
        <charset val="134"/>
      </rPr>
      <t>5</t>
    </r>
    <r>
      <rPr>
        <sz val="12"/>
        <rFont val="宋体"/>
        <charset val="134"/>
      </rPr>
      <t>0KN</t>
    </r>
  </si>
  <si>
    <t>2016、9、5</t>
  </si>
  <si>
    <t>武德-HY -007</t>
  </si>
  <si>
    <t>Ⅲ类围岩衬砌</t>
  </si>
  <si>
    <t>C25钢纤维标养</t>
  </si>
  <si>
    <t>武德-HY -004</t>
  </si>
  <si>
    <t>C26钢纤维同条件</t>
  </si>
  <si>
    <t>SL-004</t>
  </si>
  <si>
    <t>2016.4.3</t>
  </si>
  <si>
    <t>2016.5.12</t>
  </si>
  <si>
    <t>筠连武干-细集料-004</t>
  </si>
  <si>
    <t>2016.4.6</t>
  </si>
  <si>
    <t>MS-004</t>
  </si>
  <si>
    <t>工字钢力学试验检测报告</t>
  </si>
  <si>
    <t>武德-工字钢-001</t>
  </si>
  <si>
    <t>兔儿苞隧洞资料</t>
  </si>
  <si>
    <t>杜家村隧洞资料</t>
  </si>
  <si>
    <t>施工设备进场报验单</t>
  </si>
  <si>
    <t>2017设备007</t>
  </si>
  <si>
    <t>筠连武干－细集料－010</t>
  </si>
  <si>
    <t>MS－008</t>
  </si>
  <si>
    <t>岩头上弃渣场资料</t>
  </si>
  <si>
    <t>材料报验单及附件</t>
  </si>
  <si>
    <t>武干-H-001</t>
  </si>
  <si>
    <t>下挡土墙K0+005~K0+020</t>
  </si>
  <si>
    <t>标养</t>
  </si>
  <si>
    <t>2016.07.2</t>
  </si>
  <si>
    <t>2016、7、30</t>
  </si>
  <si>
    <t>2016\12\17</t>
  </si>
  <si>
    <t>同条件</t>
  </si>
  <si>
    <t>2016、7、25</t>
  </si>
  <si>
    <t>七天强度</t>
  </si>
  <si>
    <t>2016、7、9</t>
  </si>
  <si>
    <t>2016、9</t>
  </si>
  <si>
    <t>武干-H-002</t>
  </si>
  <si>
    <t>下挡土墙K0+020~K0+030</t>
  </si>
  <si>
    <t>2016.07.3</t>
  </si>
  <si>
    <t>2016、7、31</t>
  </si>
  <si>
    <t>2016、7、10</t>
  </si>
  <si>
    <r>
      <rPr>
        <sz val="12"/>
        <rFont val="宋体"/>
        <charset val="134"/>
      </rPr>
      <t>下挡土墙K0+00</t>
    </r>
    <r>
      <rPr>
        <sz val="12"/>
        <rFont val="宋体"/>
        <charset val="134"/>
      </rPr>
      <t>0</t>
    </r>
    <r>
      <rPr>
        <sz val="12"/>
        <rFont val="宋体"/>
        <charset val="134"/>
      </rPr>
      <t>~K0+0</t>
    </r>
    <r>
      <rPr>
        <sz val="12"/>
        <rFont val="宋体"/>
        <charset val="134"/>
      </rPr>
      <t>05</t>
    </r>
  </si>
  <si>
    <r>
      <rPr>
        <sz val="12"/>
        <rFont val="宋体"/>
        <charset val="134"/>
      </rPr>
      <t>下挡土墙K0+0</t>
    </r>
    <r>
      <rPr>
        <sz val="12"/>
        <rFont val="宋体"/>
        <charset val="134"/>
      </rPr>
      <t>3</t>
    </r>
    <r>
      <rPr>
        <sz val="12"/>
        <rFont val="宋体"/>
        <charset val="134"/>
      </rPr>
      <t>0~K0+0</t>
    </r>
    <r>
      <rPr>
        <sz val="12"/>
        <rFont val="宋体"/>
        <charset val="134"/>
      </rPr>
      <t>40</t>
    </r>
  </si>
  <si>
    <r>
      <rPr>
        <sz val="12"/>
        <rFont val="宋体"/>
        <charset val="134"/>
      </rPr>
      <t>上挡土墙K0+00</t>
    </r>
    <r>
      <rPr>
        <sz val="12"/>
        <rFont val="宋体"/>
        <charset val="134"/>
      </rPr>
      <t>0</t>
    </r>
    <r>
      <rPr>
        <sz val="12"/>
        <rFont val="宋体"/>
        <charset val="134"/>
      </rPr>
      <t>~K0+0</t>
    </r>
    <r>
      <rPr>
        <sz val="12"/>
        <rFont val="宋体"/>
        <charset val="134"/>
      </rPr>
      <t>07</t>
    </r>
  </si>
  <si>
    <r>
      <rPr>
        <sz val="12"/>
        <rFont val="宋体"/>
        <charset val="134"/>
      </rPr>
      <t>上挡土墙K0+007</t>
    </r>
    <r>
      <rPr>
        <sz val="12"/>
        <rFont val="宋体"/>
        <charset val="134"/>
      </rPr>
      <t>~K0+0</t>
    </r>
    <r>
      <rPr>
        <sz val="12"/>
        <rFont val="宋体"/>
        <charset val="134"/>
      </rPr>
      <t>20</t>
    </r>
  </si>
  <si>
    <r>
      <rPr>
        <sz val="12"/>
        <rFont val="宋体"/>
        <charset val="134"/>
      </rPr>
      <t>上挡土墙K0+020</t>
    </r>
    <r>
      <rPr>
        <sz val="12"/>
        <rFont val="宋体"/>
        <charset val="134"/>
      </rPr>
      <t>~K0+02</t>
    </r>
    <r>
      <rPr>
        <sz val="12"/>
        <rFont val="宋体"/>
        <charset val="134"/>
      </rPr>
      <t>5</t>
    </r>
  </si>
  <si>
    <t>块石抗压强度试验检测报告</t>
  </si>
  <si>
    <t>SKY-003</t>
  </si>
  <si>
    <t>2016.5.30</t>
  </si>
  <si>
    <t>筠连武干-粗集料-005</t>
  </si>
  <si>
    <t>筠连武干-细集料-005</t>
  </si>
  <si>
    <t>钢筋混凝土排水管进场报验单</t>
  </si>
  <si>
    <t>2016－007</t>
  </si>
  <si>
    <t>2016.10.8</t>
  </si>
  <si>
    <r>
      <rPr>
        <sz val="12"/>
        <rFont val="宋体"/>
        <charset val="134"/>
      </rPr>
      <t>隐蔽工程验收单（上挡墙</t>
    </r>
    <r>
      <rPr>
        <sz val="12"/>
        <rFont val="宋体"/>
        <charset val="134"/>
      </rPr>
      <t>K0</t>
    </r>
    <r>
      <rPr>
        <sz val="12"/>
        <rFont val="宋体"/>
        <charset val="134"/>
      </rPr>
      <t>+</t>
    </r>
    <r>
      <rPr>
        <sz val="12"/>
        <rFont val="宋体"/>
        <charset val="134"/>
      </rPr>
      <t>000~K0+025）</t>
    </r>
  </si>
  <si>
    <r>
      <rPr>
        <sz val="12"/>
        <rFont val="宋体"/>
        <charset val="134"/>
      </rPr>
      <t>隐蔽工程验收单（下挡墙K0</t>
    </r>
    <r>
      <rPr>
        <sz val="12"/>
        <rFont val="宋体"/>
        <charset val="134"/>
      </rPr>
      <t>+</t>
    </r>
    <r>
      <rPr>
        <sz val="12"/>
        <rFont val="宋体"/>
        <charset val="134"/>
      </rPr>
      <t>005~K0+020）</t>
    </r>
  </si>
  <si>
    <r>
      <rPr>
        <sz val="12"/>
        <rFont val="宋体"/>
        <charset val="134"/>
      </rPr>
      <t>隐蔽工程验收单（上挡墙K0</t>
    </r>
    <r>
      <rPr>
        <sz val="12"/>
        <rFont val="宋体"/>
        <charset val="134"/>
      </rPr>
      <t>+</t>
    </r>
    <r>
      <rPr>
        <sz val="12"/>
        <rFont val="宋体"/>
        <charset val="134"/>
      </rPr>
      <t>030~K0+040）</t>
    </r>
  </si>
  <si>
    <r>
      <rPr>
        <sz val="12"/>
        <rFont val="宋体"/>
        <charset val="134"/>
      </rPr>
      <t>隐蔽工程验收单（上挡墙K0</t>
    </r>
    <r>
      <rPr>
        <sz val="12"/>
        <rFont val="宋体"/>
        <charset val="134"/>
      </rPr>
      <t>+</t>
    </r>
    <r>
      <rPr>
        <sz val="12"/>
        <rFont val="宋体"/>
        <charset val="134"/>
      </rPr>
      <t>020~K0+030）</t>
    </r>
  </si>
  <si>
    <t>水工Ⅰ明暗渠资料</t>
  </si>
  <si>
    <t>筠连武干－粗集料－009</t>
  </si>
  <si>
    <t>筠连武干－细集料－012</t>
  </si>
  <si>
    <t>筠连武干－粗集料－015</t>
  </si>
  <si>
    <t>筠连武干－细集料－019</t>
  </si>
  <si>
    <t>武德－钢筋－005</t>
  </si>
  <si>
    <t>HRB400E φ16</t>
  </si>
  <si>
    <t>2017.5.22</t>
  </si>
  <si>
    <t>武德－钢筋－006</t>
  </si>
  <si>
    <t>武德－钢筋－007</t>
  </si>
  <si>
    <t>HRB400E φ10</t>
  </si>
  <si>
    <t>武德－钢筋－010</t>
  </si>
  <si>
    <t>武德－钢筋－008</t>
  </si>
  <si>
    <t>2017.6.29</t>
  </si>
  <si>
    <t>武德－钢筋－009</t>
  </si>
  <si>
    <t>武德－钢筋－011</t>
  </si>
  <si>
    <t>武德－钢筋－013</t>
  </si>
  <si>
    <t>2017.7.8</t>
  </si>
  <si>
    <r>
      <rPr>
        <sz val="12"/>
        <rFont val="宋体"/>
        <charset val="134"/>
      </rPr>
      <t>构配件进场报验单</t>
    </r>
    <r>
      <rPr>
        <b/>
        <sz val="12"/>
        <rFont val="宋体"/>
        <charset val="134"/>
      </rPr>
      <t>橡胶止水带</t>
    </r>
  </si>
  <si>
    <t>2017材验020</t>
  </si>
  <si>
    <t>652型</t>
  </si>
  <si>
    <t>2017.6.16</t>
  </si>
  <si>
    <r>
      <rPr>
        <sz val="12"/>
        <rFont val="宋体"/>
        <charset val="134"/>
      </rPr>
      <t>构配件进场报验单</t>
    </r>
    <r>
      <rPr>
        <b/>
        <sz val="12"/>
        <rFont val="宋体"/>
        <charset val="134"/>
      </rPr>
      <t>水泥</t>
    </r>
  </si>
  <si>
    <t>2017材验025</t>
  </si>
  <si>
    <t>PC42.5</t>
  </si>
  <si>
    <t>2017.7.1</t>
  </si>
  <si>
    <t>水工Ⅱ明暗渠资料</t>
  </si>
  <si>
    <t>筠连武干－粗集料－008</t>
  </si>
  <si>
    <t>筠连武干－细集料－013</t>
  </si>
  <si>
    <t>筠连武干－细集料－014</t>
  </si>
  <si>
    <t>武德钢筋－013</t>
  </si>
  <si>
    <t>2017.8.10</t>
  </si>
  <si>
    <t>武德钢筋－015</t>
  </si>
  <si>
    <t>2017.8.3</t>
  </si>
  <si>
    <t>武德钢筋－016</t>
  </si>
  <si>
    <t>武德钢筋－017</t>
  </si>
  <si>
    <t>武德钢筋－018</t>
  </si>
  <si>
    <t>武德钢筋－019</t>
  </si>
  <si>
    <t>2017材验021</t>
  </si>
  <si>
    <t>2017材验027</t>
  </si>
  <si>
    <t>2017.7.5</t>
  </si>
  <si>
    <t>水工Ⅲ明暗渠资料</t>
  </si>
  <si>
    <t>筠连武干－粗集料－007</t>
  </si>
  <si>
    <t>筠连武干－粗集料－003</t>
  </si>
  <si>
    <t>筠连武干－细集料－018</t>
  </si>
  <si>
    <t>武德--钢筋－024</t>
  </si>
  <si>
    <t>武德--钢筋－025</t>
  </si>
  <si>
    <t>武德--钢筋－022</t>
  </si>
  <si>
    <t>武德--钢筋－023</t>
  </si>
  <si>
    <t>2017材验022</t>
  </si>
  <si>
    <t>2017.8.2</t>
  </si>
  <si>
    <t>2017材验028</t>
  </si>
  <si>
    <t>安全资料其他</t>
  </si>
  <si>
    <t>施工质量自检计划</t>
  </si>
  <si>
    <t>朱家沟倒虹管</t>
  </si>
  <si>
    <t>主要内容</t>
  </si>
  <si>
    <t>申报日期</t>
  </si>
  <si>
    <t>归档日期</t>
  </si>
  <si>
    <t>材料构配件进场报验单</t>
  </si>
  <si>
    <t>四川君源[2017]材验004</t>
  </si>
  <si>
    <t>Φ1000 X 5000mm  2.0MPa  5m X 28</t>
  </si>
  <si>
    <t>2017.8.31</t>
  </si>
  <si>
    <t>四川君源[2017]材验015</t>
  </si>
  <si>
    <t>Φ1000 X 5000mm  2.0MPa  5m X 35</t>
  </si>
  <si>
    <t>2017.9.5</t>
  </si>
  <si>
    <t>四川君源[2017]材验016</t>
  </si>
  <si>
    <t>Φ1000 X 5000mm  1.0MPa  5m X 21</t>
  </si>
  <si>
    <t>2017.9.7</t>
  </si>
  <si>
    <t>四川君源[2017]材验017</t>
  </si>
  <si>
    <t>Φ1000 X 5000mm  1.0MPa  5m X 34</t>
  </si>
  <si>
    <t>2017.9.9</t>
  </si>
  <si>
    <t>四川君源[2017]材验018</t>
  </si>
  <si>
    <t>四川君源[2017]材验019</t>
  </si>
  <si>
    <t>Φ1000 X 5000mm  1.0MPa  5m X 35</t>
  </si>
  <si>
    <t>四川君源[2017]材验023</t>
  </si>
  <si>
    <t>四川君源[2017]材验024</t>
  </si>
  <si>
    <t xml:space="preserve">Φ1000 X 582   Φ1000 X 692  2.0MPaX10 </t>
  </si>
  <si>
    <t>2017.9.13</t>
  </si>
  <si>
    <t>四川君源[2017]材验025</t>
  </si>
  <si>
    <t>Φ1000 X 582  Φ1000 X 692 2.0MPa X 4 +6</t>
  </si>
  <si>
    <t>2017.9.15</t>
  </si>
  <si>
    <t>四川君源[2017]材验026</t>
  </si>
  <si>
    <t>四川君源[2017]材验027</t>
  </si>
  <si>
    <t>2017.9.18</t>
  </si>
  <si>
    <t>四川君源[2017]材验021</t>
  </si>
  <si>
    <t>钢管D1020 X 12</t>
  </si>
  <si>
    <t>2017.9.23</t>
  </si>
  <si>
    <t>四川君源[2017]材验022</t>
  </si>
  <si>
    <t>转换件</t>
  </si>
  <si>
    <t>2017.9.26</t>
  </si>
  <si>
    <t>Φ1000 X 5000mm  1.0MPa  5m X 63</t>
  </si>
  <si>
    <t>四川君源[2017]材验029</t>
  </si>
  <si>
    <t>Φ1000 X 5000mm  2.0MPa  5m X 14</t>
  </si>
  <si>
    <t>2017.10.12</t>
  </si>
  <si>
    <t>四川君源[2017]材验030</t>
  </si>
  <si>
    <t>转换件8+12</t>
  </si>
  <si>
    <t>四川君源[2017]材验031</t>
  </si>
  <si>
    <t>2017.10.14</t>
  </si>
  <si>
    <t>四川君源[2017]材验032</t>
  </si>
  <si>
    <t>转换件2+2</t>
  </si>
  <si>
    <t>四川君源[2017]材验033</t>
  </si>
  <si>
    <t>2017.9.27</t>
  </si>
  <si>
    <t>四川君源[2017]材验034</t>
  </si>
  <si>
    <t>2017.10.17</t>
  </si>
  <si>
    <t>四川君源[2017]材验035</t>
  </si>
  <si>
    <t>四川君源[2017]材验036</t>
  </si>
  <si>
    <t>2017.10.23</t>
  </si>
  <si>
    <t>四川君源[2017]材验037</t>
  </si>
  <si>
    <t>进出口弯管及三通</t>
  </si>
  <si>
    <t>2017.10.22</t>
  </si>
  <si>
    <t>四川君源[2017]材验038</t>
  </si>
  <si>
    <t>Φ1000 X 5000mm  1.0MPa  5m X 3</t>
  </si>
  <si>
    <t>四川君源[2017]材验039</t>
  </si>
  <si>
    <t>Φ1000 X 5000mm  1.0MPa  5m X 12</t>
  </si>
  <si>
    <t>2017.10.20</t>
  </si>
  <si>
    <t>四川君源[2017]材验040</t>
  </si>
  <si>
    <t>Φ1000 X 5000mm  1.0MPa  5m X 18</t>
  </si>
  <si>
    <t>2017.10.21</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</si>
</sst>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2" formatCode="_ &quot;￥&quot;* #,##0_ ;_ &quot;￥&quot;* \-#,##0_ ;_ &quot;￥&quot;* &quot;-&quot;_ ;_ @_ "/>
    <numFmt numFmtId="43" formatCode="_ * #,##0.00_ ;_ * \-#,##0.00_ ;_ * &quot;-&quot;??_ ;_ @_ "/>
  </numFmts>
  <fonts count="39">
    <font>
      <sz val="12"/>
      <name val="宋体"/>
      <charset val="134"/>
    </font>
    <font>
      <b/>
      <sz val="16"/>
      <name val="宋体"/>
      <charset val="134"/>
    </font>
    <font>
      <sz val="12"/>
      <color rgb="FFFF0000"/>
      <name val="宋体"/>
      <charset val="134"/>
    </font>
    <font>
      <sz val="8"/>
      <name val="宋体"/>
      <charset val="134"/>
    </font>
    <font>
      <b/>
      <sz val="22"/>
      <name val="宋体"/>
      <charset val="134"/>
    </font>
    <font>
      <sz val="11"/>
      <color theme="1"/>
      <name val="宋体"/>
      <charset val="134"/>
      <scheme val="minor"/>
    </font>
    <font>
      <sz val="11"/>
      <color theme="4"/>
      <name val="宋体"/>
      <charset val="134"/>
      <scheme val="minor"/>
    </font>
    <font>
      <sz val="12"/>
      <color theme="1"/>
      <name val="宋体"/>
      <charset val="134"/>
    </font>
    <font>
      <b/>
      <sz val="18"/>
      <name val="宋体"/>
      <charset val="134"/>
    </font>
    <font>
      <sz val="16"/>
      <name val="方正仿宋_GBK"/>
      <charset val="134"/>
    </font>
    <font>
      <sz val="12"/>
      <color theme="4"/>
      <name val="宋体"/>
      <charset val="134"/>
    </font>
    <font>
      <sz val="12"/>
      <color rgb="FF7030A0"/>
      <name val="宋体"/>
      <charset val="134"/>
    </font>
    <font>
      <sz val="12"/>
      <color rgb="FF0070C0"/>
      <name val="宋体"/>
      <charset val="134"/>
    </font>
    <font>
      <sz val="10"/>
      <name val="宋体"/>
      <charset val="134"/>
    </font>
    <font>
      <sz val="14"/>
      <name val="宋体"/>
      <charset val="134"/>
    </font>
    <font>
      <sz val="11"/>
      <name val="宋体"/>
      <charset val="134"/>
    </font>
    <font>
      <sz val="22"/>
      <name val="宋体"/>
      <charset val="134"/>
    </font>
    <font>
      <sz val="18"/>
      <name val="宋体"/>
      <charset val="134"/>
    </font>
    <font>
      <sz val="10"/>
      <color theme="4"/>
      <name val="宋体"/>
      <charset val="134"/>
    </font>
    <font>
      <b/>
      <sz val="12"/>
      <name val="宋体"/>
      <charset val="134"/>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b/>
      <sz val="11"/>
      <color theme="1"/>
      <name val="宋体"/>
      <charset val="0"/>
      <scheme val="minor"/>
    </font>
    <font>
      <b/>
      <sz val="18"/>
      <color theme="3"/>
      <name val="宋体"/>
      <charset val="134"/>
      <scheme val="minor"/>
    </font>
    <font>
      <u/>
      <sz val="11"/>
      <color rgb="FF0000FF"/>
      <name val="宋体"/>
      <charset val="0"/>
      <scheme val="minor"/>
    </font>
    <font>
      <sz val="11"/>
      <color rgb="FF9C6500"/>
      <name val="宋体"/>
      <charset val="0"/>
      <scheme val="minor"/>
    </font>
    <font>
      <sz val="11"/>
      <color rgb="FF3F3F76"/>
      <name val="宋体"/>
      <charset val="0"/>
      <scheme val="minor"/>
    </font>
    <font>
      <sz val="11"/>
      <color theme="1"/>
      <name val="宋体"/>
      <charset val="0"/>
      <scheme val="minor"/>
    </font>
    <font>
      <sz val="11"/>
      <color theme="0"/>
      <name val="宋体"/>
      <charset val="0"/>
      <scheme val="minor"/>
    </font>
    <font>
      <b/>
      <sz val="11"/>
      <color rgb="FF3F3F3F"/>
      <name val="宋体"/>
      <charset val="0"/>
      <scheme val="minor"/>
    </font>
    <font>
      <b/>
      <sz val="15"/>
      <color theme="3"/>
      <name val="宋体"/>
      <charset val="134"/>
      <scheme val="minor"/>
    </font>
    <font>
      <b/>
      <sz val="11"/>
      <color rgb="FFFFFFFF"/>
      <name val="宋体"/>
      <charset val="0"/>
      <scheme val="minor"/>
    </font>
    <font>
      <b/>
      <sz val="13"/>
      <color theme="3"/>
      <name val="宋体"/>
      <charset val="134"/>
      <scheme val="minor"/>
    </font>
    <font>
      <sz val="11"/>
      <color rgb="FFFF0000"/>
      <name val="宋体"/>
      <charset val="0"/>
      <scheme val="minor"/>
    </font>
    <font>
      <b/>
      <sz val="11"/>
      <color rgb="FFFA7D00"/>
      <name val="宋体"/>
      <charset val="0"/>
      <scheme val="minor"/>
    </font>
    <font>
      <sz val="11"/>
      <color rgb="FFFA7D00"/>
      <name val="宋体"/>
      <charset val="0"/>
      <scheme val="minor"/>
    </font>
    <font>
      <sz val="11"/>
      <color rgb="FF006100"/>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C7CE"/>
        <bgColor indexed="64"/>
      </patternFill>
    </fill>
    <fill>
      <patternFill patternType="solid">
        <fgColor rgb="FFFFEB9C"/>
        <bgColor indexed="64"/>
      </patternFill>
    </fill>
    <fill>
      <patternFill patternType="solid">
        <fgColor rgb="FFFFCC99"/>
        <bgColor indexed="64"/>
      </patternFill>
    </fill>
    <fill>
      <patternFill patternType="solid">
        <fgColor theme="9" tint="0.599993896298105"/>
        <bgColor indexed="64"/>
      </patternFill>
    </fill>
    <fill>
      <patternFill patternType="solid">
        <fgColor theme="6" tint="0.599993896298105"/>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2F2F2"/>
        <bgColor indexed="64"/>
      </patternFill>
    </fill>
    <fill>
      <patternFill patternType="solid">
        <fgColor rgb="FFFFFFCC"/>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rgb="FFA5A5A5"/>
        <bgColor indexed="64"/>
      </patternFill>
    </fill>
    <fill>
      <patternFill patternType="solid">
        <fgColor theme="8"/>
        <bgColor indexed="64"/>
      </patternFill>
    </fill>
    <fill>
      <patternFill patternType="solid">
        <fgColor theme="7"/>
        <bgColor indexed="64"/>
      </patternFill>
    </fill>
    <fill>
      <patternFill patternType="solid">
        <fgColor theme="4"/>
        <bgColor indexed="64"/>
      </patternFill>
    </fill>
    <fill>
      <patternFill patternType="solid">
        <fgColor theme="5"/>
        <bgColor indexed="64"/>
      </patternFill>
    </fill>
    <fill>
      <patternFill patternType="solid">
        <fgColor rgb="FFC6EFCE"/>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theme="9"/>
        <bgColor indexed="64"/>
      </patternFill>
    </fill>
    <fill>
      <patternFill patternType="solid">
        <fgColor theme="6"/>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thin">
        <color auto="1"/>
      </right>
      <top/>
      <bottom style="thin">
        <color auto="1"/>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50">
    <xf numFmtId="0" fontId="0" fillId="0" borderId="0">
      <alignment vertical="center"/>
    </xf>
    <xf numFmtId="42" fontId="5" fillId="0" borderId="0" applyFont="0" applyFill="0" applyBorder="0" applyAlignment="0" applyProtection="0">
      <alignment vertical="center"/>
    </xf>
    <xf numFmtId="0" fontId="29" fillId="9" borderId="0" applyNumberFormat="0" applyBorder="0" applyAlignment="0" applyProtection="0">
      <alignment vertical="center"/>
    </xf>
    <xf numFmtId="0" fontId="28" fillId="5" borderId="17" applyNumberFormat="0" applyAlignment="0" applyProtection="0">
      <alignment vertical="center"/>
    </xf>
    <xf numFmtId="44" fontId="5" fillId="0" borderId="0" applyFont="0" applyFill="0" applyBorder="0" applyAlignment="0" applyProtection="0">
      <alignment vertical="center"/>
    </xf>
    <xf numFmtId="41" fontId="5" fillId="0" borderId="0" applyFont="0" applyFill="0" applyBorder="0" applyAlignment="0" applyProtection="0">
      <alignment vertical="center"/>
    </xf>
    <xf numFmtId="0" fontId="29" fillId="7" borderId="0" applyNumberFormat="0" applyBorder="0" applyAlignment="0" applyProtection="0">
      <alignment vertical="center"/>
    </xf>
    <xf numFmtId="0" fontId="23" fillId="3" borderId="0" applyNumberFormat="0" applyBorder="0" applyAlignment="0" applyProtection="0">
      <alignment vertical="center"/>
    </xf>
    <xf numFmtId="43" fontId="5" fillId="0" borderId="0" applyFont="0" applyFill="0" applyBorder="0" applyAlignment="0" applyProtection="0">
      <alignment vertical="center"/>
    </xf>
    <xf numFmtId="0" fontId="30" fillId="13" borderId="0" applyNumberFormat="0" applyBorder="0" applyAlignment="0" applyProtection="0">
      <alignment vertical="center"/>
    </xf>
    <xf numFmtId="0" fontId="26" fillId="0" borderId="0" applyNumberFormat="0" applyFill="0" applyBorder="0" applyAlignment="0" applyProtection="0">
      <alignment vertical="center"/>
    </xf>
    <xf numFmtId="9" fontId="5" fillId="0" borderId="0" applyFont="0" applyFill="0" applyBorder="0" applyAlignment="0" applyProtection="0">
      <alignment vertical="center"/>
    </xf>
    <xf numFmtId="0" fontId="22" fillId="0" borderId="0" applyNumberFormat="0" applyFill="0" applyBorder="0" applyAlignment="0" applyProtection="0">
      <alignment vertical="center"/>
    </xf>
    <xf numFmtId="0" fontId="5" fillId="15" borderId="20" applyNumberFormat="0" applyFont="0" applyAlignment="0" applyProtection="0">
      <alignment vertical="center"/>
    </xf>
    <xf numFmtId="0" fontId="30" fillId="17" borderId="0" applyNumberFormat="0" applyBorder="0" applyAlignment="0" applyProtection="0">
      <alignment vertical="center"/>
    </xf>
    <xf numFmtId="0" fontId="21"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32" fillId="0" borderId="19" applyNumberFormat="0" applyFill="0" applyAlignment="0" applyProtection="0">
      <alignment vertical="center"/>
    </xf>
    <xf numFmtId="0" fontId="34" fillId="0" borderId="19" applyNumberFormat="0" applyFill="0" applyAlignment="0" applyProtection="0">
      <alignment vertical="center"/>
    </xf>
    <xf numFmtId="0" fontId="30" fillId="12" borderId="0" applyNumberFormat="0" applyBorder="0" applyAlignment="0" applyProtection="0">
      <alignment vertical="center"/>
    </xf>
    <xf numFmtId="0" fontId="21" fillId="0" borderId="16" applyNumberFormat="0" applyFill="0" applyAlignment="0" applyProtection="0">
      <alignment vertical="center"/>
    </xf>
    <xf numFmtId="0" fontId="30" fillId="11" borderId="0" applyNumberFormat="0" applyBorder="0" applyAlignment="0" applyProtection="0">
      <alignment vertical="center"/>
    </xf>
    <xf numFmtId="0" fontId="31" fillId="14" borderId="18" applyNumberFormat="0" applyAlignment="0" applyProtection="0">
      <alignment vertical="center"/>
    </xf>
    <xf numFmtId="0" fontId="36" fillId="14" borderId="17" applyNumberFormat="0" applyAlignment="0" applyProtection="0">
      <alignment vertical="center"/>
    </xf>
    <xf numFmtId="0" fontId="33" fillId="18" borderId="21" applyNumberFormat="0" applyAlignment="0" applyProtection="0">
      <alignment vertical="center"/>
    </xf>
    <xf numFmtId="0" fontId="29" fillId="8" borderId="0" applyNumberFormat="0" applyBorder="0" applyAlignment="0" applyProtection="0">
      <alignment vertical="center"/>
    </xf>
    <xf numFmtId="0" fontId="30" fillId="22" borderId="0" applyNumberFormat="0" applyBorder="0" applyAlignment="0" applyProtection="0">
      <alignment vertical="center"/>
    </xf>
    <xf numFmtId="0" fontId="37" fillId="0" borderId="22" applyNumberFormat="0" applyFill="0" applyAlignment="0" applyProtection="0">
      <alignment vertical="center"/>
    </xf>
    <xf numFmtId="0" fontId="24" fillId="0" borderId="15" applyNumberFormat="0" applyFill="0" applyAlignment="0" applyProtection="0">
      <alignment vertical="center"/>
    </xf>
    <xf numFmtId="0" fontId="38" fillId="23" borderId="0" applyNumberFormat="0" applyBorder="0" applyAlignment="0" applyProtection="0">
      <alignment vertical="center"/>
    </xf>
    <xf numFmtId="0" fontId="27" fillId="4" borderId="0" applyNumberFormat="0" applyBorder="0" applyAlignment="0" applyProtection="0">
      <alignment vertical="center"/>
    </xf>
    <xf numFmtId="0" fontId="29" fillId="27" borderId="0" applyNumberFormat="0" applyBorder="0" applyAlignment="0" applyProtection="0">
      <alignment vertical="center"/>
    </xf>
    <xf numFmtId="0" fontId="30" fillId="21" borderId="0" applyNumberFormat="0" applyBorder="0" applyAlignment="0" applyProtection="0">
      <alignment vertical="center"/>
    </xf>
    <xf numFmtId="0" fontId="29" fillId="26" borderId="0" applyNumberFormat="0" applyBorder="0" applyAlignment="0" applyProtection="0">
      <alignment vertical="center"/>
    </xf>
    <xf numFmtId="0" fontId="29" fillId="31" borderId="0" applyNumberFormat="0" applyBorder="0" applyAlignment="0" applyProtection="0">
      <alignment vertical="center"/>
    </xf>
    <xf numFmtId="0" fontId="29" fillId="25" borderId="0" applyNumberFormat="0" applyBorder="0" applyAlignment="0" applyProtection="0">
      <alignment vertical="center"/>
    </xf>
    <xf numFmtId="0" fontId="29" fillId="30" borderId="0" applyNumberFormat="0" applyBorder="0" applyAlignment="0" applyProtection="0">
      <alignment vertical="center"/>
    </xf>
    <xf numFmtId="0" fontId="30" fillId="33" borderId="0" applyNumberFormat="0" applyBorder="0" applyAlignment="0" applyProtection="0">
      <alignment vertical="center"/>
    </xf>
    <xf numFmtId="0" fontId="30" fillId="20" borderId="0" applyNumberFormat="0" applyBorder="0" applyAlignment="0" applyProtection="0">
      <alignment vertical="center"/>
    </xf>
    <xf numFmtId="0" fontId="29" fillId="24" borderId="0" applyNumberFormat="0" applyBorder="0" applyAlignment="0" applyProtection="0">
      <alignment vertical="center"/>
    </xf>
    <xf numFmtId="0" fontId="29" fillId="29" borderId="0" applyNumberFormat="0" applyBorder="0" applyAlignment="0" applyProtection="0">
      <alignment vertical="center"/>
    </xf>
    <xf numFmtId="0" fontId="30" fillId="19" borderId="0" applyNumberFormat="0" applyBorder="0" applyAlignment="0" applyProtection="0">
      <alignment vertical="center"/>
    </xf>
    <xf numFmtId="0" fontId="29" fillId="28" borderId="0" applyNumberFormat="0" applyBorder="0" applyAlignment="0" applyProtection="0">
      <alignment vertical="center"/>
    </xf>
    <xf numFmtId="0" fontId="30" fillId="16" borderId="0" applyNumberFormat="0" applyBorder="0" applyAlignment="0" applyProtection="0">
      <alignment vertical="center"/>
    </xf>
    <xf numFmtId="0" fontId="30" fillId="32" borderId="0" applyNumberFormat="0" applyBorder="0" applyAlignment="0" applyProtection="0">
      <alignment vertical="center"/>
    </xf>
    <xf numFmtId="0" fontId="29" fillId="6" borderId="0" applyNumberFormat="0" applyBorder="0" applyAlignment="0" applyProtection="0">
      <alignment vertical="center"/>
    </xf>
    <xf numFmtId="0" fontId="30" fillId="10" borderId="0" applyNumberFormat="0" applyBorder="0" applyAlignment="0" applyProtection="0">
      <alignment vertical="center"/>
    </xf>
    <xf numFmtId="0" fontId="5" fillId="0" borderId="0">
      <alignment vertical="center"/>
    </xf>
  </cellStyleXfs>
  <cellXfs count="236">
    <xf numFmtId="0" fontId="0" fillId="0" borderId="0" xfId="0">
      <alignment vertical="center"/>
    </xf>
    <xf numFmtId="0" fontId="1" fillId="0" borderId="0" xfId="0" applyFont="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2" fillId="0" borderId="1" xfId="0" applyFont="1" applyBorder="1" applyAlignment="1">
      <alignment horizontal="center" vertical="center"/>
    </xf>
    <xf numFmtId="0" fontId="0" fillId="0" borderId="1" xfId="0" applyFont="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vertical="center"/>
    </xf>
    <xf numFmtId="0" fontId="3" fillId="0" borderId="1" xfId="0" applyFont="1" applyBorder="1" applyAlignment="1">
      <alignment horizontal="center" vertical="center" wrapText="1"/>
    </xf>
    <xf numFmtId="0" fontId="0" fillId="0" borderId="4" xfId="0" applyBorder="1" applyAlignment="1">
      <alignment horizontal="center" vertical="center"/>
    </xf>
    <xf numFmtId="0" fontId="0" fillId="0" borderId="1" xfId="0" applyBorder="1">
      <alignment vertical="center"/>
    </xf>
    <xf numFmtId="14" fontId="0" fillId="0" borderId="1" xfId="0" applyNumberFormat="1" applyBorder="1">
      <alignment vertical="center"/>
    </xf>
    <xf numFmtId="0" fontId="0" fillId="0" borderId="0" xfId="0" applyBorder="1">
      <alignment vertical="center"/>
    </xf>
    <xf numFmtId="0" fontId="0" fillId="0" borderId="0" xfId="0" applyAlignment="1">
      <alignment horizontal="center" vertical="center" wrapText="1"/>
    </xf>
    <xf numFmtId="49" fontId="0" fillId="0" borderId="0" xfId="0" applyNumberFormat="1" applyAlignment="1">
      <alignment horizontal="center" vertical="center"/>
    </xf>
    <xf numFmtId="0" fontId="4" fillId="0" borderId="1" xfId="0" applyFont="1" applyBorder="1" applyAlignment="1">
      <alignment horizontal="center" vertical="center"/>
    </xf>
    <xf numFmtId="49" fontId="0" fillId="0" borderId="1" xfId="0" applyNumberFormat="1" applyBorder="1" applyAlignment="1">
      <alignment horizontal="center" vertical="center"/>
    </xf>
    <xf numFmtId="0" fontId="0" fillId="0" borderId="0" xfId="0" applyAlignment="1">
      <alignment horizontal="left" vertical="center"/>
    </xf>
    <xf numFmtId="0" fontId="4" fillId="0" borderId="0" xfId="0" applyFont="1" applyAlignment="1">
      <alignment vertical="center"/>
    </xf>
    <xf numFmtId="49" fontId="0" fillId="0" borderId="1" xfId="0" applyNumberFormat="1" applyBorder="1" applyAlignment="1">
      <alignment horizontal="center" vertical="center" wrapText="1"/>
    </xf>
    <xf numFmtId="58" fontId="0" fillId="0" borderId="1" xfId="0" applyNumberFormat="1" applyBorder="1" applyAlignment="1">
      <alignment horizontal="center" vertical="center"/>
    </xf>
    <xf numFmtId="14" fontId="0" fillId="0" borderId="5" xfId="0" applyNumberFormat="1" applyBorder="1" applyAlignment="1">
      <alignment horizontal="center" vertical="center"/>
    </xf>
    <xf numFmtId="14" fontId="0" fillId="0" borderId="6" xfId="0" applyNumberFormat="1" applyBorder="1" applyAlignment="1">
      <alignment horizontal="center" vertical="center"/>
    </xf>
    <xf numFmtId="14" fontId="0" fillId="0" borderId="7" xfId="0" applyNumberFormat="1" applyBorder="1" applyAlignment="1">
      <alignment horizontal="center" vertical="center"/>
    </xf>
    <xf numFmtId="0" fontId="0" fillId="0" borderId="5" xfId="0" applyBorder="1" applyAlignment="1">
      <alignment horizontal="center" vertical="center"/>
    </xf>
    <xf numFmtId="0" fontId="5" fillId="0" borderId="1" xfId="49" applyBorder="1" applyAlignment="1">
      <alignment horizontal="center" vertical="center"/>
    </xf>
    <xf numFmtId="0" fontId="0" fillId="0" borderId="6" xfId="0" applyBorder="1" applyAlignment="1">
      <alignment horizontal="center" vertical="center"/>
    </xf>
    <xf numFmtId="0" fontId="6" fillId="0" borderId="1" xfId="49" applyFont="1" applyBorder="1" applyAlignment="1">
      <alignment horizontal="center" vertical="center"/>
    </xf>
    <xf numFmtId="14" fontId="5" fillId="0" borderId="4" xfId="49" applyNumberFormat="1" applyFont="1" applyBorder="1" applyAlignment="1">
      <alignment horizontal="center" vertical="center"/>
    </xf>
    <xf numFmtId="0" fontId="0" fillId="0" borderId="7" xfId="0" applyBorder="1" applyAlignment="1">
      <alignment horizontal="center" vertical="center"/>
    </xf>
    <xf numFmtId="0" fontId="0" fillId="0" borderId="1" xfId="0" applyFont="1" applyBorder="1" applyAlignment="1">
      <alignment horizontal="center" vertical="center" wrapText="1"/>
    </xf>
    <xf numFmtId="0" fontId="0" fillId="0" borderId="7" xfId="0" applyFont="1" applyBorder="1" applyAlignment="1">
      <alignment vertical="center"/>
    </xf>
    <xf numFmtId="0" fontId="2" fillId="0" borderId="0" xfId="0" applyFont="1">
      <alignment vertical="center"/>
    </xf>
    <xf numFmtId="0" fontId="0" fillId="0" borderId="0" xfId="0" applyFont="1">
      <alignment vertical="center"/>
    </xf>
    <xf numFmtId="58" fontId="2" fillId="0" borderId="1" xfId="0" applyNumberFormat="1" applyFont="1" applyBorder="1" applyAlignment="1">
      <alignment horizontal="center" vertical="center" wrapText="1"/>
    </xf>
    <xf numFmtId="58" fontId="2" fillId="0" borderId="1" xfId="0" applyNumberFormat="1" applyFont="1" applyBorder="1" applyAlignment="1">
      <alignment horizontal="center" vertical="center"/>
    </xf>
    <xf numFmtId="0" fontId="0" fillId="0" borderId="0" xfId="0" applyBorder="1" applyAlignment="1">
      <alignment horizontal="center" vertical="center"/>
    </xf>
    <xf numFmtId="0" fontId="0" fillId="0" borderId="0" xfId="0" applyBorder="1" applyAlignment="1">
      <alignment horizontal="center" vertical="center" wrapText="1"/>
    </xf>
    <xf numFmtId="0" fontId="0" fillId="0" borderId="0" xfId="0" applyAlignment="1">
      <alignment horizontal="left" vertical="center" wrapText="1"/>
    </xf>
    <xf numFmtId="49" fontId="0" fillId="0" borderId="0" xfId="0" applyNumberFormat="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horizontal="left" vertical="center" wrapText="1"/>
    </xf>
    <xf numFmtId="49" fontId="7"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Font="1" applyBorder="1" applyAlignment="1">
      <alignment vertical="center" wrapText="1"/>
    </xf>
    <xf numFmtId="0" fontId="0" fillId="0" borderId="1" xfId="0" applyFont="1" applyBorder="1">
      <alignment vertical="center"/>
    </xf>
    <xf numFmtId="0" fontId="0" fillId="0" borderId="0" xfId="0" applyAlignment="1">
      <alignment vertical="center" wrapText="1"/>
    </xf>
    <xf numFmtId="0" fontId="7" fillId="0" borderId="2" xfId="0" applyFont="1" applyBorder="1" applyAlignment="1">
      <alignment horizontal="center" vertical="center"/>
    </xf>
    <xf numFmtId="0" fontId="2" fillId="0" borderId="0" xfId="0" applyFont="1" applyBorder="1">
      <alignment vertical="center"/>
    </xf>
    <xf numFmtId="0" fontId="0" fillId="0" borderId="8" xfId="0" applyBorder="1" applyAlignment="1">
      <alignment horizontal="center" vertical="center"/>
    </xf>
    <xf numFmtId="49" fontId="0" fillId="0" borderId="0" xfId="0" applyNumberFormat="1" applyBorder="1" applyAlignment="1">
      <alignment horizontal="center" vertical="center"/>
    </xf>
    <xf numFmtId="0" fontId="0" fillId="0" borderId="4" xfId="0" applyBorder="1">
      <alignment vertical="center"/>
    </xf>
    <xf numFmtId="0" fontId="0" fillId="0" borderId="2" xfId="0" applyBorder="1">
      <alignment vertical="center"/>
    </xf>
    <xf numFmtId="0" fontId="0" fillId="0" borderId="0" xfId="0" applyFill="1" applyAlignment="1">
      <alignment vertical="center"/>
    </xf>
    <xf numFmtId="0" fontId="0" fillId="0" borderId="0" xfId="0" applyFill="1" applyAlignment="1">
      <alignment horizontal="center" vertical="center" wrapText="1"/>
    </xf>
    <xf numFmtId="0" fontId="8" fillId="0" borderId="0" xfId="0" applyFont="1" applyFill="1" applyAlignment="1">
      <alignment horizontal="center" vertical="center"/>
    </xf>
    <xf numFmtId="0" fontId="8" fillId="0" borderId="0" xfId="0" applyFont="1" applyFill="1" applyAlignment="1">
      <alignment horizontal="center" vertical="center" wrapText="1"/>
    </xf>
    <xf numFmtId="0" fontId="0" fillId="0" borderId="5" xfId="0" applyFill="1" applyBorder="1" applyAlignment="1">
      <alignment horizontal="center" vertical="center"/>
    </xf>
    <xf numFmtId="0" fontId="0" fillId="0" borderId="5" xfId="0" applyFill="1" applyBorder="1" applyAlignment="1">
      <alignment horizontal="center" vertical="center" wrapText="1"/>
    </xf>
    <xf numFmtId="49" fontId="0" fillId="0" borderId="5" xfId="0" applyNumberFormat="1" applyFill="1" applyBorder="1" applyAlignment="1">
      <alignment horizontal="center" vertical="center"/>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49" fontId="0" fillId="0" borderId="1" xfId="0" applyNumberFormat="1" applyFill="1" applyBorder="1" applyAlignment="1">
      <alignment horizontal="center" vertical="center"/>
    </xf>
    <xf numFmtId="0" fontId="0" fillId="0" borderId="1" xfId="0" applyFill="1" applyBorder="1" applyAlignment="1">
      <alignment vertical="center"/>
    </xf>
    <xf numFmtId="0" fontId="0" fillId="0" borderId="1" xfId="0" applyFont="1" applyFill="1" applyBorder="1" applyAlignment="1">
      <alignment horizontal="center" vertical="center" wrapText="1"/>
    </xf>
    <xf numFmtId="0" fontId="0" fillId="0" borderId="1" xfId="0" applyFont="1" applyFill="1" applyBorder="1" applyAlignment="1">
      <alignment vertical="center"/>
    </xf>
    <xf numFmtId="0" fontId="0" fillId="0" borderId="1" xfId="0" applyFill="1" applyBorder="1" applyAlignment="1">
      <alignment vertical="center" wrapText="1"/>
    </xf>
    <xf numFmtId="0" fontId="8" fillId="0" borderId="0" xfId="0" applyFont="1" applyFill="1" applyAlignment="1">
      <alignment vertical="center"/>
    </xf>
    <xf numFmtId="0" fontId="4" fillId="0" borderId="0" xfId="0" applyFont="1" applyBorder="1" applyAlignment="1">
      <alignment horizontal="center" vertical="center"/>
    </xf>
    <xf numFmtId="0" fontId="4" fillId="0" borderId="0" xfId="0" applyFont="1" applyBorder="1" applyAlignment="1">
      <alignment horizontal="center" vertical="center" wrapText="1"/>
    </xf>
    <xf numFmtId="49" fontId="4" fillId="0" borderId="0" xfId="0" applyNumberFormat="1" applyFont="1" applyBorder="1" applyAlignment="1">
      <alignment horizontal="center" vertical="center" wrapText="1"/>
    </xf>
    <xf numFmtId="0" fontId="0" fillId="0" borderId="5" xfId="0" applyFont="1" applyBorder="1" applyAlignment="1">
      <alignment horizontal="center" vertical="center"/>
    </xf>
    <xf numFmtId="0" fontId="0" fillId="0" borderId="5" xfId="0" applyFont="1" applyBorder="1" applyAlignment="1">
      <alignment horizontal="center" vertical="center" wrapText="1"/>
    </xf>
    <xf numFmtId="49" fontId="0" fillId="0" borderId="5" xfId="0" applyNumberFormat="1" applyFont="1" applyBorder="1" applyAlignment="1">
      <alignment horizontal="center" vertical="center" wrapText="1"/>
    </xf>
    <xf numFmtId="49" fontId="0" fillId="0" borderId="1" xfId="0" applyNumberFormat="1" applyFont="1" applyBorder="1" applyAlignment="1">
      <alignment horizontal="center" vertical="center"/>
    </xf>
    <xf numFmtId="49" fontId="0" fillId="0" borderId="5" xfId="0" applyNumberFormat="1" applyFont="1" applyBorder="1" applyAlignment="1">
      <alignment horizontal="center" vertical="center"/>
    </xf>
    <xf numFmtId="0" fontId="0" fillId="0" borderId="5" xfId="0" applyFont="1" applyBorder="1">
      <alignment vertical="center"/>
    </xf>
    <xf numFmtId="0" fontId="0" fillId="0" borderId="8" xfId="0" applyFont="1" applyBorder="1" applyAlignment="1">
      <alignment horizontal="center" vertical="center"/>
    </xf>
    <xf numFmtId="0" fontId="0" fillId="0" borderId="0" xfId="0" applyFill="1" applyAlignment="1">
      <alignment vertical="center" wrapText="1"/>
    </xf>
    <xf numFmtId="49" fontId="0" fillId="0" borderId="5" xfId="0" applyNumberFormat="1" applyFill="1" applyBorder="1" applyAlignment="1">
      <alignment horizontal="center" vertical="center" wrapText="1"/>
    </xf>
    <xf numFmtId="49" fontId="0" fillId="0" borderId="1" xfId="0" applyNumberFormat="1" applyFill="1" applyBorder="1" applyAlignment="1">
      <alignment horizontal="center" vertical="center" wrapText="1"/>
    </xf>
    <xf numFmtId="0" fontId="0" fillId="0" borderId="2" xfId="0" applyFill="1" applyBorder="1" applyAlignment="1">
      <alignment horizontal="center" vertical="center"/>
    </xf>
    <xf numFmtId="49" fontId="0" fillId="0" borderId="1" xfId="0" applyNumberFormat="1" applyFill="1" applyBorder="1" applyAlignment="1">
      <alignment vertical="center"/>
    </xf>
    <xf numFmtId="0" fontId="0" fillId="0" borderId="4" xfId="0" applyFill="1" applyBorder="1" applyAlignment="1">
      <alignment horizontal="center" vertical="center"/>
    </xf>
    <xf numFmtId="0" fontId="0" fillId="2" borderId="0" xfId="0" applyFill="1">
      <alignment vertical="center"/>
    </xf>
    <xf numFmtId="0" fontId="7" fillId="0" borderId="0" xfId="0" applyFont="1">
      <alignment vertical="center"/>
    </xf>
    <xf numFmtId="0" fontId="4" fillId="0" borderId="0" xfId="0" applyFont="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49" fontId="0" fillId="2" borderId="1" xfId="0" applyNumberFormat="1" applyFill="1" applyBorder="1" applyAlignment="1">
      <alignment horizontal="center" vertical="center"/>
    </xf>
    <xf numFmtId="49" fontId="7" fillId="0" borderId="1" xfId="0" applyNumberFormat="1" applyFont="1" applyBorder="1" applyAlignment="1">
      <alignment horizontal="center" vertical="center"/>
    </xf>
    <xf numFmtId="0" fontId="0" fillId="0" borderId="5" xfId="0" applyBorder="1" applyAlignment="1">
      <alignment horizontal="center" vertical="center" wrapText="1"/>
    </xf>
    <xf numFmtId="49" fontId="0" fillId="0" borderId="5" xfId="0" applyNumberFormat="1" applyBorder="1" applyAlignment="1">
      <alignment horizontal="center" vertical="center"/>
    </xf>
    <xf numFmtId="14" fontId="0" fillId="0" borderId="1" xfId="0" applyNumberForma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horizontal="center" vertical="center"/>
    </xf>
    <xf numFmtId="49" fontId="3" fillId="0" borderId="1" xfId="0" applyNumberFormat="1" applyFont="1" applyBorder="1" applyAlignment="1">
      <alignment horizontal="center" vertical="center" wrapText="1"/>
    </xf>
    <xf numFmtId="0" fontId="3" fillId="0" borderId="5" xfId="0" applyFont="1" applyBorder="1" applyAlignment="1">
      <alignment horizontal="center" vertical="center"/>
    </xf>
    <xf numFmtId="0" fontId="9" fillId="0" borderId="0" xfId="0" applyFont="1" applyAlignment="1">
      <alignment horizontal="justify" vertical="center"/>
    </xf>
    <xf numFmtId="0" fontId="0" fillId="0" borderId="5" xfId="0" applyBorder="1">
      <alignment vertical="center"/>
    </xf>
    <xf numFmtId="0" fontId="0" fillId="0" borderId="2" xfId="0" applyBorder="1" applyAlignment="1">
      <alignment horizontal="center" vertical="center" wrapText="1"/>
    </xf>
    <xf numFmtId="0" fontId="0" fillId="0" borderId="8" xfId="0" applyBorder="1" applyAlignment="1">
      <alignment horizontal="center" vertical="center" wrapText="1"/>
    </xf>
    <xf numFmtId="49" fontId="0" fillId="0" borderId="0" xfId="0" applyNumberFormat="1" applyFill="1" applyAlignment="1">
      <alignment vertical="center"/>
    </xf>
    <xf numFmtId="0" fontId="0" fillId="0" borderId="0" xfId="0" applyFill="1" applyAlignment="1">
      <alignment horizontal="center" vertical="center"/>
    </xf>
    <xf numFmtId="49" fontId="8" fillId="0" borderId="0" xfId="0" applyNumberFormat="1" applyFont="1" applyFill="1" applyAlignment="1">
      <alignment horizontal="center" vertical="center"/>
    </xf>
    <xf numFmtId="0" fontId="0" fillId="0" borderId="8" xfId="0" applyFill="1" applyBorder="1" applyAlignment="1">
      <alignment horizontal="center" vertical="center"/>
    </xf>
    <xf numFmtId="0" fontId="0" fillId="0" borderId="9" xfId="0" applyFill="1" applyBorder="1" applyAlignment="1">
      <alignment horizontal="center" vertical="center"/>
    </xf>
    <xf numFmtId="0" fontId="10" fillId="0" borderId="1" xfId="0" applyFont="1" applyFill="1" applyBorder="1" applyAlignment="1">
      <alignment vertical="center" wrapText="1"/>
    </xf>
    <xf numFmtId="0" fontId="0" fillId="0" borderId="3" xfId="0" applyFill="1" applyBorder="1" applyAlignment="1">
      <alignment horizontal="center" vertical="center"/>
    </xf>
    <xf numFmtId="0" fontId="10" fillId="0" borderId="5" xfId="0" applyFont="1" applyFill="1" applyBorder="1" applyAlignment="1">
      <alignment vertical="center" wrapText="1"/>
    </xf>
    <xf numFmtId="0" fontId="10"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49" fontId="2" fillId="0" borderId="1" xfId="0" applyNumberFormat="1" applyFont="1" applyFill="1" applyBorder="1" applyAlignment="1">
      <alignment horizontal="center" vertical="center"/>
    </xf>
    <xf numFmtId="0" fontId="2" fillId="0" borderId="1" xfId="0" applyFont="1" applyFill="1" applyBorder="1" applyAlignment="1">
      <alignment horizontal="center" vertical="center"/>
    </xf>
    <xf numFmtId="0" fontId="7" fillId="0" borderId="1" xfId="0" applyFont="1" applyFill="1" applyBorder="1" applyAlignment="1">
      <alignment horizontal="center" vertical="center"/>
    </xf>
    <xf numFmtId="0" fontId="0" fillId="0" borderId="1" xfId="0" applyFont="1" applyFill="1" applyBorder="1" applyAlignment="1">
      <alignment vertical="center" wrapText="1"/>
    </xf>
    <xf numFmtId="14" fontId="0" fillId="0" borderId="1" xfId="0" applyNumberFormat="1" applyFill="1" applyBorder="1" applyAlignment="1">
      <alignment horizontal="center" vertical="center"/>
    </xf>
    <xf numFmtId="49" fontId="0" fillId="0" borderId="1" xfId="0" applyNumberFormat="1" applyFill="1" applyBorder="1" applyAlignment="1">
      <alignment vertical="center" wrapText="1"/>
    </xf>
    <xf numFmtId="0" fontId="0" fillId="0" borderId="10" xfId="0" applyFill="1" applyBorder="1" applyAlignment="1">
      <alignment horizontal="center" vertical="center"/>
    </xf>
    <xf numFmtId="0" fontId="11" fillId="0" borderId="0" xfId="0" applyFont="1" applyFill="1" applyAlignment="1">
      <alignment vertical="center"/>
    </xf>
    <xf numFmtId="0" fontId="12" fillId="0" borderId="0" xfId="0" applyFont="1" applyFill="1" applyAlignment="1">
      <alignment vertical="center"/>
    </xf>
    <xf numFmtId="0" fontId="10" fillId="0" borderId="0" xfId="0" applyFont="1" applyFill="1" applyAlignment="1">
      <alignment vertical="center"/>
    </xf>
    <xf numFmtId="0" fontId="2" fillId="0" borderId="0" xfId="0" applyFont="1" applyFill="1" applyAlignment="1">
      <alignment vertical="center"/>
    </xf>
    <xf numFmtId="0" fontId="0" fillId="0" borderId="5" xfId="0" applyFill="1" applyBorder="1" applyAlignment="1">
      <alignment vertical="center" wrapText="1"/>
    </xf>
    <xf numFmtId="0" fontId="10" fillId="0" borderId="1" xfId="0" applyFont="1" applyFill="1" applyBorder="1" applyAlignment="1">
      <alignment horizontal="center" vertical="center"/>
    </xf>
    <xf numFmtId="0" fontId="11" fillId="0" borderId="5" xfId="0" applyFont="1" applyFill="1" applyBorder="1" applyAlignment="1">
      <alignment vertical="center" wrapText="1"/>
    </xf>
    <xf numFmtId="0" fontId="11" fillId="0" borderId="5" xfId="0" applyFont="1" applyFill="1" applyBorder="1" applyAlignment="1">
      <alignment vertical="center"/>
    </xf>
    <xf numFmtId="0" fontId="11" fillId="0" borderId="5" xfId="0" applyFont="1" applyFill="1" applyBorder="1" applyAlignment="1">
      <alignment horizontal="center" vertical="center"/>
    </xf>
    <xf numFmtId="0" fontId="12" fillId="0" borderId="1" xfId="0" applyFont="1" applyFill="1" applyBorder="1" applyAlignment="1">
      <alignment vertical="center" wrapText="1"/>
    </xf>
    <xf numFmtId="0" fontId="12" fillId="0" borderId="1" xfId="0" applyFont="1" applyFill="1" applyBorder="1" applyAlignment="1">
      <alignment vertical="center"/>
    </xf>
    <xf numFmtId="0" fontId="12" fillId="0" borderId="1" xfId="0" applyFont="1" applyFill="1" applyBorder="1" applyAlignment="1">
      <alignment horizontal="center" vertical="center"/>
    </xf>
    <xf numFmtId="0" fontId="0" fillId="0" borderId="1" xfId="0" applyFont="1" applyFill="1" applyBorder="1" applyAlignment="1">
      <alignment horizontal="center" vertical="center"/>
    </xf>
    <xf numFmtId="14" fontId="0" fillId="0" borderId="1" xfId="0" applyNumberFormat="1" applyFont="1" applyFill="1" applyBorder="1" applyAlignment="1">
      <alignment vertical="center" wrapText="1"/>
    </xf>
    <xf numFmtId="49" fontId="10" fillId="0" borderId="1" xfId="0" applyNumberFormat="1" applyFont="1" applyFill="1" applyBorder="1" applyAlignment="1">
      <alignment horizontal="center" vertical="center" wrapText="1"/>
    </xf>
    <xf numFmtId="0" fontId="2" fillId="0" borderId="1" xfId="0" applyFont="1" applyFill="1" applyBorder="1" applyAlignment="1">
      <alignment vertical="center" wrapText="1"/>
    </xf>
    <xf numFmtId="49" fontId="2" fillId="0" borderId="1" xfId="0" applyNumberFormat="1" applyFont="1" applyFill="1" applyBorder="1" applyAlignment="1">
      <alignment horizontal="center" vertical="center" wrapText="1"/>
    </xf>
    <xf numFmtId="49" fontId="10" fillId="0" borderId="5" xfId="0" applyNumberFormat="1" applyFont="1" applyFill="1" applyBorder="1" applyAlignment="1">
      <alignment horizontal="center" vertical="center" wrapText="1"/>
    </xf>
    <xf numFmtId="0" fontId="10" fillId="0" borderId="5" xfId="0" applyFont="1" applyFill="1" applyBorder="1" applyAlignment="1">
      <alignment horizontal="center" vertical="center"/>
    </xf>
    <xf numFmtId="0" fontId="11" fillId="0" borderId="1" xfId="0" applyFont="1" applyFill="1" applyBorder="1" applyAlignment="1">
      <alignment vertical="center" wrapText="1"/>
    </xf>
    <xf numFmtId="0" fontId="11" fillId="0" borderId="1" xfId="0" applyFont="1" applyFill="1" applyBorder="1" applyAlignment="1">
      <alignment vertical="center"/>
    </xf>
    <xf numFmtId="0" fontId="11" fillId="0" borderId="1" xfId="0" applyFont="1" applyFill="1" applyBorder="1" applyAlignment="1">
      <alignment horizontal="center" vertical="center"/>
    </xf>
    <xf numFmtId="0" fontId="0" fillId="0" borderId="2" xfId="0" applyFill="1" applyBorder="1" applyAlignment="1">
      <alignment vertical="center"/>
    </xf>
    <xf numFmtId="0" fontId="0" fillId="0" borderId="6" xfId="0" applyFill="1" applyBorder="1" applyAlignment="1">
      <alignment vertical="center" wrapText="1"/>
    </xf>
    <xf numFmtId="0" fontId="0" fillId="0" borderId="7" xfId="0" applyFill="1" applyBorder="1" applyAlignment="1">
      <alignment vertical="center" wrapText="1"/>
    </xf>
    <xf numFmtId="0" fontId="0" fillId="0" borderId="6" xfId="0" applyFill="1" applyBorder="1" applyAlignment="1">
      <alignment horizontal="center" vertical="center"/>
    </xf>
    <xf numFmtId="0" fontId="0" fillId="0" borderId="7" xfId="0" applyFill="1" applyBorder="1" applyAlignment="1">
      <alignment horizontal="center" vertical="center"/>
    </xf>
    <xf numFmtId="0" fontId="0" fillId="0" borderId="6" xfId="0" applyFill="1" applyBorder="1" applyAlignment="1">
      <alignment horizontal="center" vertical="center" wrapText="1"/>
    </xf>
    <xf numFmtId="0" fontId="0" fillId="0" borderId="7" xfId="0" applyFill="1" applyBorder="1" applyAlignment="1">
      <alignment horizontal="center" vertical="center" wrapText="1"/>
    </xf>
    <xf numFmtId="0" fontId="12" fillId="0" borderId="5" xfId="0" applyFont="1" applyFill="1" applyBorder="1" applyAlignment="1">
      <alignment horizontal="center" vertical="center" wrapText="1"/>
    </xf>
    <xf numFmtId="0" fontId="12" fillId="0" borderId="6" xfId="0" applyFont="1" applyFill="1" applyBorder="1" applyAlignment="1">
      <alignment horizontal="center" vertical="center" wrapText="1"/>
    </xf>
    <xf numFmtId="14" fontId="13" fillId="0" borderId="1" xfId="0" applyNumberFormat="1" applyFont="1" applyFill="1" applyBorder="1" applyAlignment="1">
      <alignment horizontal="center" vertical="center"/>
    </xf>
    <xf numFmtId="0" fontId="12" fillId="0" borderId="7" xfId="0" applyFont="1" applyFill="1" applyBorder="1" applyAlignment="1">
      <alignment horizontal="center" vertical="center" wrapText="1"/>
    </xf>
    <xf numFmtId="0" fontId="2" fillId="0" borderId="1" xfId="0" applyFont="1" applyFill="1" applyBorder="1" applyAlignment="1">
      <alignment vertical="center"/>
    </xf>
    <xf numFmtId="14" fontId="0" fillId="0" borderId="1" xfId="0" applyNumberFormat="1" applyFill="1" applyBorder="1" applyAlignment="1">
      <alignment vertical="center"/>
    </xf>
    <xf numFmtId="49" fontId="0" fillId="0" borderId="5" xfId="0" applyNumberFormat="1" applyBorder="1" applyAlignment="1">
      <alignment horizontal="center" vertical="center" wrapText="1"/>
    </xf>
    <xf numFmtId="0" fontId="0" fillId="0" borderId="1" xfId="0" applyBorder="1" applyAlignment="1">
      <alignment horizontal="left" vertical="center" wrapText="1"/>
    </xf>
    <xf numFmtId="0" fontId="4" fillId="0" borderId="0" xfId="0" applyFont="1" applyBorder="1" applyAlignment="1">
      <alignment horizontal="left" vertical="center" wrapText="1"/>
    </xf>
    <xf numFmtId="0" fontId="4" fillId="0" borderId="0" xfId="0" applyFont="1" applyFill="1" applyAlignment="1">
      <alignment horizontal="center" vertical="center"/>
    </xf>
    <xf numFmtId="0" fontId="4" fillId="0" borderId="0" xfId="0" applyFont="1" applyFill="1" applyAlignment="1">
      <alignment horizontal="center" vertical="center" wrapText="1"/>
    </xf>
    <xf numFmtId="0" fontId="5" fillId="0" borderId="1" xfId="0" applyFont="1" applyFill="1" applyBorder="1" applyAlignment="1">
      <alignment horizontal="center" vertical="center" wrapText="1"/>
    </xf>
    <xf numFmtId="0" fontId="0" fillId="0" borderId="2" xfId="0" applyFont="1" applyFill="1" applyBorder="1" applyAlignment="1">
      <alignment horizontal="center" vertical="center"/>
    </xf>
    <xf numFmtId="0" fontId="0" fillId="0" borderId="3" xfId="0" applyFont="1" applyFill="1" applyBorder="1" applyAlignment="1">
      <alignment horizontal="center" vertical="center"/>
    </xf>
    <xf numFmtId="14" fontId="0" fillId="0" borderId="1" xfId="0" applyNumberFormat="1" applyFont="1" applyFill="1" applyBorder="1" applyAlignment="1">
      <alignment vertical="center"/>
    </xf>
    <xf numFmtId="0" fontId="0" fillId="0" borderId="4" xfId="0" applyFont="1" applyFill="1" applyBorder="1" applyAlignment="1">
      <alignment horizontal="center" vertical="center"/>
    </xf>
    <xf numFmtId="0" fontId="14" fillId="0" borderId="1" xfId="0" applyFont="1" applyBorder="1" applyAlignment="1">
      <alignment horizontal="justify" vertical="center"/>
    </xf>
    <xf numFmtId="0" fontId="0" fillId="0" borderId="11" xfId="0" applyFont="1" applyFill="1" applyBorder="1" applyAlignment="1">
      <alignment horizontal="center" vertical="center"/>
    </xf>
    <xf numFmtId="0" fontId="0" fillId="0" borderId="0" xfId="0" applyFont="1" applyFill="1" applyAlignment="1">
      <alignment horizontal="center" vertical="center"/>
    </xf>
    <xf numFmtId="0" fontId="0" fillId="0" borderId="12" xfId="0" applyFont="1" applyFill="1" applyBorder="1" applyAlignment="1">
      <alignment vertical="center"/>
    </xf>
    <xf numFmtId="0" fontId="14" fillId="0" borderId="0" xfId="0" applyFont="1" applyAlignment="1">
      <alignment horizontal="justify" vertical="center"/>
    </xf>
    <xf numFmtId="0" fontId="0" fillId="0" borderId="7" xfId="0" applyFill="1" applyBorder="1" applyAlignment="1">
      <alignment vertical="center"/>
    </xf>
    <xf numFmtId="0" fontId="0" fillId="0" borderId="2" xfId="0" applyFont="1" applyFill="1" applyBorder="1" applyAlignment="1">
      <alignment vertical="center"/>
    </xf>
    <xf numFmtId="0" fontId="15" fillId="0" borderId="1" xfId="0" applyFont="1" applyFill="1" applyBorder="1" applyAlignment="1">
      <alignment vertical="center" wrapText="1"/>
    </xf>
    <xf numFmtId="0" fontId="0" fillId="0" borderId="13" xfId="0" applyFont="1" applyFill="1" applyBorder="1" applyAlignment="1">
      <alignment horizontal="center" vertical="center"/>
    </xf>
    <xf numFmtId="0" fontId="10" fillId="0" borderId="0" xfId="0" applyFont="1">
      <alignment vertical="center"/>
    </xf>
    <xf numFmtId="0" fontId="8" fillId="0" borderId="1" xfId="0" applyFont="1" applyBorder="1" applyAlignment="1">
      <alignment horizontal="center" vertical="center"/>
    </xf>
    <xf numFmtId="0" fontId="8" fillId="0" borderId="0" xfId="0" applyFont="1" applyAlignment="1">
      <alignment horizontal="center" vertical="center"/>
    </xf>
    <xf numFmtId="0" fontId="0" fillId="0" borderId="4" xfId="0" applyBorder="1" applyAlignment="1">
      <alignment vertical="center" wrapText="1"/>
    </xf>
    <xf numFmtId="0" fontId="2" fillId="0" borderId="4" xfId="0" applyFont="1" applyBorder="1" applyAlignment="1">
      <alignment vertical="center" wrapText="1"/>
    </xf>
    <xf numFmtId="0" fontId="2" fillId="0" borderId="1" xfId="0" applyFont="1" applyBorder="1" applyAlignment="1">
      <alignment vertical="center" wrapText="1"/>
    </xf>
    <xf numFmtId="0" fontId="0" fillId="0" borderId="4" xfId="0" applyFont="1" applyBorder="1" applyAlignment="1">
      <alignment vertical="center" wrapText="1"/>
    </xf>
    <xf numFmtId="0" fontId="0" fillId="0" borderId="10" xfId="0" applyFont="1" applyBorder="1" applyAlignment="1">
      <alignment vertical="center" wrapText="1"/>
    </xf>
    <xf numFmtId="0" fontId="0" fillId="0" borderId="5" xfId="0" applyFont="1" applyBorder="1" applyAlignment="1">
      <alignment vertical="center" wrapText="1"/>
    </xf>
    <xf numFmtId="0" fontId="0" fillId="0" borderId="14" xfId="0" applyFont="1" applyBorder="1" applyAlignment="1">
      <alignment vertical="center" wrapText="1"/>
    </xf>
    <xf numFmtId="0" fontId="0" fillId="0" borderId="7" xfId="0" applyFont="1" applyBorder="1" applyAlignment="1">
      <alignment vertical="center" wrapText="1"/>
    </xf>
    <xf numFmtId="0" fontId="0" fillId="0" borderId="7" xfId="0" applyFont="1" applyBorder="1" applyAlignment="1">
      <alignment horizontal="center" vertical="center" wrapText="1"/>
    </xf>
    <xf numFmtId="0" fontId="16" fillId="0" borderId="1" xfId="0" applyFont="1" applyBorder="1" applyAlignment="1">
      <alignment horizontal="center" vertical="center"/>
    </xf>
    <xf numFmtId="0" fontId="16" fillId="0" borderId="4" xfId="0" applyFont="1" applyBorder="1" applyAlignment="1">
      <alignment horizontal="center" vertical="center"/>
    </xf>
    <xf numFmtId="0" fontId="15" fillId="0" borderId="4" xfId="0" applyFont="1" applyBorder="1" applyAlignment="1">
      <alignment vertical="center" wrapText="1"/>
    </xf>
    <xf numFmtId="0" fontId="17" fillId="0" borderId="3" xfId="0" applyFont="1" applyBorder="1" applyAlignment="1">
      <alignment horizontal="center" vertical="center" wrapText="1"/>
    </xf>
    <xf numFmtId="0" fontId="2" fillId="0" borderId="1" xfId="0" applyFont="1" applyBorder="1">
      <alignment vertical="center"/>
    </xf>
    <xf numFmtId="0" fontId="0" fillId="0" borderId="7" xfId="0" applyFont="1" applyBorder="1">
      <alignment vertical="center"/>
    </xf>
    <xf numFmtId="0" fontId="0" fillId="0" borderId="1" xfId="0" applyFont="1" applyBorder="1" applyAlignment="1">
      <alignment vertical="center"/>
    </xf>
    <xf numFmtId="0" fontId="0" fillId="0" borderId="6" xfId="0" applyFont="1" applyBorder="1" applyAlignment="1">
      <alignment horizontal="center" vertical="center" wrapText="1"/>
    </xf>
    <xf numFmtId="0" fontId="17" fillId="0" borderId="4" xfId="0" applyFont="1" applyBorder="1" applyAlignment="1">
      <alignment horizontal="center" vertical="center" wrapText="1"/>
    </xf>
    <xf numFmtId="0" fontId="13" fillId="0" borderId="1" xfId="0" applyFont="1" applyBorder="1" applyAlignment="1">
      <alignment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14" fontId="0" fillId="0" borderId="1" xfId="0" applyNumberFormat="1" applyBorder="1" applyAlignment="1">
      <alignment vertical="center" wrapText="1"/>
    </xf>
    <xf numFmtId="58" fontId="0" fillId="0" borderId="1" xfId="0" applyNumberFormat="1" applyBorder="1" applyAlignment="1">
      <alignment vertical="center" wrapText="1"/>
    </xf>
    <xf numFmtId="58" fontId="0" fillId="0" borderId="0" xfId="0" applyNumberFormat="1" applyAlignment="1">
      <alignment vertical="center" wrapText="1"/>
    </xf>
    <xf numFmtId="0" fontId="0" fillId="0" borderId="5" xfId="0" applyFont="1" applyFill="1" applyBorder="1" applyAlignment="1">
      <alignment horizontal="center" vertical="center"/>
    </xf>
    <xf numFmtId="0" fontId="0" fillId="0" borderId="5" xfId="0" applyFont="1" applyFill="1" applyBorder="1" applyAlignment="1">
      <alignment horizontal="center" vertical="center" wrapText="1"/>
    </xf>
    <xf numFmtId="0" fontId="0" fillId="0" borderId="7" xfId="0" applyFont="1" applyFill="1" applyBorder="1" applyAlignment="1">
      <alignment horizontal="center" vertical="center"/>
    </xf>
    <xf numFmtId="0" fontId="0" fillId="0" borderId="7" xfId="0" applyFont="1" applyFill="1" applyBorder="1" applyAlignment="1">
      <alignment horizontal="center" vertical="center" wrapText="1"/>
    </xf>
    <xf numFmtId="0" fontId="18" fillId="0" borderId="1" xfId="0" applyFont="1" applyFill="1" applyBorder="1" applyAlignment="1">
      <alignment horizontal="center" vertical="center" wrapText="1"/>
    </xf>
    <xf numFmtId="0" fontId="10" fillId="0" borderId="1" xfId="0" applyFont="1" applyFill="1" applyBorder="1" applyAlignment="1">
      <alignment vertical="center"/>
    </xf>
    <xf numFmtId="0" fontId="10" fillId="0" borderId="1" xfId="0" applyFont="1" applyBorder="1">
      <alignment vertical="center"/>
    </xf>
    <xf numFmtId="58" fontId="10" fillId="0" borderId="1" xfId="0" applyNumberFormat="1" applyFont="1" applyBorder="1">
      <alignment vertical="center"/>
    </xf>
    <xf numFmtId="0" fontId="10" fillId="0" borderId="2" xfId="0" applyFont="1" applyFill="1" applyBorder="1" applyAlignment="1">
      <alignment horizontal="center" vertical="center"/>
    </xf>
    <xf numFmtId="0" fontId="10" fillId="0" borderId="3" xfId="0" applyFont="1" applyFill="1" applyBorder="1" applyAlignment="1">
      <alignment horizontal="center" vertical="center"/>
    </xf>
    <xf numFmtId="0" fontId="10" fillId="0" borderId="7" xfId="0" applyFont="1" applyFill="1" applyBorder="1" applyAlignment="1">
      <alignment horizontal="center" vertical="center"/>
    </xf>
    <xf numFmtId="0" fontId="10" fillId="0" borderId="12" xfId="0" applyFont="1" applyFill="1" applyBorder="1" applyAlignment="1">
      <alignment horizontal="center" vertical="center"/>
    </xf>
    <xf numFmtId="0" fontId="0" fillId="0" borderId="6" xfId="0" applyFont="1" applyFill="1" applyBorder="1" applyAlignment="1">
      <alignment horizontal="center" vertical="center"/>
    </xf>
    <xf numFmtId="0" fontId="0" fillId="0" borderId="7" xfId="0" applyFont="1" applyFill="1" applyBorder="1" applyAlignment="1">
      <alignment vertical="center"/>
    </xf>
    <xf numFmtId="0" fontId="10" fillId="0" borderId="4" xfId="0" applyFont="1" applyFill="1" applyBorder="1" applyAlignment="1">
      <alignment horizontal="center" vertical="center"/>
    </xf>
    <xf numFmtId="49" fontId="0" fillId="0" borderId="1" xfId="0" applyNumberFormat="1" applyFont="1" applyFill="1" applyBorder="1" applyAlignment="1">
      <alignment horizontal="center" vertical="center" wrapText="1"/>
    </xf>
    <xf numFmtId="49" fontId="0" fillId="0" borderId="5" xfId="0" applyNumberFormat="1" applyFont="1" applyFill="1" applyBorder="1" applyAlignment="1">
      <alignment horizontal="center" vertical="center" wrapText="1"/>
    </xf>
    <xf numFmtId="49" fontId="0" fillId="0" borderId="11" xfId="0" applyNumberFormat="1" applyFont="1" applyFill="1" applyBorder="1" applyAlignment="1">
      <alignment horizontal="center" vertical="center" wrapText="1"/>
    </xf>
    <xf numFmtId="49" fontId="0" fillId="0" borderId="0" xfId="0" applyNumberFormat="1" applyFont="1" applyFill="1" applyAlignment="1">
      <alignment horizontal="center" vertical="center" wrapText="1"/>
    </xf>
    <xf numFmtId="0" fontId="13" fillId="0" borderId="1" xfId="0" applyFont="1" applyBorder="1">
      <alignment vertical="center"/>
    </xf>
    <xf numFmtId="0" fontId="0" fillId="0" borderId="10" xfId="0" applyFont="1" applyFill="1" applyBorder="1" applyAlignment="1">
      <alignment horizontal="center" vertical="center"/>
    </xf>
    <xf numFmtId="0" fontId="0" fillId="0" borderId="14" xfId="0" applyFont="1" applyFill="1" applyBorder="1" applyAlignment="1">
      <alignment horizontal="center" vertical="center"/>
    </xf>
    <xf numFmtId="0" fontId="0" fillId="0" borderId="2" xfId="0" applyFont="1" applyFill="1" applyBorder="1" applyAlignment="1">
      <alignment vertical="center" wrapText="1"/>
    </xf>
    <xf numFmtId="0" fontId="0" fillId="0" borderId="3" xfId="0" applyFont="1" applyFill="1" applyBorder="1" applyAlignment="1">
      <alignment vertical="center" wrapText="1"/>
    </xf>
    <xf numFmtId="0" fontId="0" fillId="0" borderId="4" xfId="0" applyFont="1" applyFill="1" applyBorder="1" applyAlignment="1">
      <alignment vertical="center" wrapText="1"/>
    </xf>
    <xf numFmtId="0" fontId="0" fillId="0" borderId="6" xfId="0" applyFont="1" applyFill="1" applyBorder="1" applyAlignment="1">
      <alignment horizontal="center" vertical="center" wrapText="1"/>
    </xf>
    <xf numFmtId="49" fontId="0" fillId="0" borderId="13" xfId="0" applyNumberFormat="1" applyFont="1" applyFill="1" applyBorder="1" applyAlignment="1">
      <alignment horizontal="center" vertical="center" wrapText="1"/>
    </xf>
    <xf numFmtId="0" fontId="19" fillId="0" borderId="1" xfId="0" applyFont="1" applyBorder="1" applyAlignment="1">
      <alignment horizontal="center" vertical="center" wrapText="1"/>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1" Type="http://schemas.openxmlformats.org/officeDocument/2006/relationships/sharedStrings" Target="sharedStrings.xml"/><Relationship Id="rId40" Type="http://schemas.openxmlformats.org/officeDocument/2006/relationships/styles" Target="styles.xml"/><Relationship Id="rId4" Type="http://schemas.openxmlformats.org/officeDocument/2006/relationships/worksheet" Target="worksheets/sheet4.xml"/><Relationship Id="rId39" Type="http://schemas.openxmlformats.org/officeDocument/2006/relationships/theme" Target="theme/theme1.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9"/>
  <sheetViews>
    <sheetView tabSelected="1" zoomScale="115" zoomScaleNormal="115" topLeftCell="A13" workbookViewId="0">
      <selection activeCell="E19" sqref="E19"/>
    </sheetView>
  </sheetViews>
  <sheetFormatPr defaultColWidth="9" defaultRowHeight="14.25"/>
  <cols>
    <col min="1" max="1" width="4.875" customWidth="1"/>
    <col min="2" max="2" width="16.525" style="16" customWidth="1"/>
    <col min="3" max="3" width="8.78333333333333" style="17" customWidth="1"/>
    <col min="4" max="4" width="4.375" customWidth="1"/>
    <col min="5" max="5" width="10" customWidth="1"/>
    <col min="6" max="6" width="9.875" customWidth="1"/>
    <col min="7" max="7" width="7.375" customWidth="1"/>
    <col min="8" max="8" width="6.375" customWidth="1"/>
    <col min="9" max="9" width="10.625" customWidth="1"/>
    <col min="10" max="10" width="8.68333333333333" customWidth="1"/>
    <col min="11" max="11" width="10.625" customWidth="1"/>
    <col min="12" max="12" width="43.8333333333333" customWidth="1"/>
  </cols>
  <sheetData>
    <row r="1" ht="27" spans="1:12">
      <c r="A1" s="74" t="s">
        <v>0</v>
      </c>
      <c r="B1" s="75"/>
      <c r="C1" s="76"/>
      <c r="D1" s="75"/>
      <c r="E1" s="75"/>
      <c r="F1" s="75"/>
      <c r="G1" s="74"/>
      <c r="H1" s="74"/>
      <c r="I1" s="74"/>
      <c r="J1" s="74"/>
      <c r="K1" s="74"/>
      <c r="L1" s="74"/>
    </row>
    <row r="2" s="52" customFormat="1" ht="42.75" spans="1:12">
      <c r="A2" s="3" t="s">
        <v>1</v>
      </c>
      <c r="B2" s="3" t="s">
        <v>2</v>
      </c>
      <c r="C2" s="22" t="s">
        <v>3</v>
      </c>
      <c r="D2" s="3" t="s">
        <v>4</v>
      </c>
      <c r="E2" s="3" t="s">
        <v>5</v>
      </c>
      <c r="F2" s="3" t="s">
        <v>6</v>
      </c>
      <c r="G2" s="3" t="s">
        <v>7</v>
      </c>
      <c r="H2" s="3" t="s">
        <v>8</v>
      </c>
      <c r="I2" s="3" t="s">
        <v>9</v>
      </c>
      <c r="J2" s="235" t="s">
        <v>10</v>
      </c>
      <c r="K2" s="235" t="s">
        <v>11</v>
      </c>
      <c r="L2" s="3" t="s">
        <v>12</v>
      </c>
    </row>
    <row r="3" s="52" customFormat="1" ht="81" customHeight="1" spans="1:12">
      <c r="A3" s="3">
        <v>1</v>
      </c>
      <c r="B3" s="3" t="s">
        <v>13</v>
      </c>
      <c r="C3" s="49" t="s">
        <v>14</v>
      </c>
      <c r="D3" s="49">
        <v>1</v>
      </c>
      <c r="E3" s="49" t="s">
        <v>15</v>
      </c>
      <c r="F3" s="49" t="s">
        <v>16</v>
      </c>
      <c r="G3" s="49" t="s">
        <v>17</v>
      </c>
      <c r="H3" s="49" t="s">
        <v>18</v>
      </c>
      <c r="I3" s="49">
        <v>6435851.66</v>
      </c>
      <c r="J3" s="49"/>
      <c r="K3" s="49">
        <v>4156479</v>
      </c>
      <c r="L3" s="49" t="s">
        <v>19</v>
      </c>
    </row>
    <row r="4" s="52" customFormat="1" ht="62" customHeight="1" spans="1:12">
      <c r="A4" s="3">
        <v>2</v>
      </c>
      <c r="B4" s="3" t="s">
        <v>20</v>
      </c>
      <c r="C4" s="49" t="s">
        <v>21</v>
      </c>
      <c r="D4" s="49"/>
      <c r="E4" s="49" t="s">
        <v>15</v>
      </c>
      <c r="F4" s="49" t="s">
        <v>16</v>
      </c>
      <c r="G4" s="49" t="s">
        <v>22</v>
      </c>
      <c r="H4" s="49"/>
      <c r="I4" s="49">
        <v>4839611.46</v>
      </c>
      <c r="J4" s="49"/>
      <c r="K4" s="49">
        <v>2616996.45</v>
      </c>
      <c r="L4" s="49"/>
    </row>
    <row r="5" s="52" customFormat="1" ht="54" customHeight="1" spans="1:12">
      <c r="A5" s="3">
        <v>3</v>
      </c>
      <c r="B5" s="3" t="s">
        <v>23</v>
      </c>
      <c r="C5" s="49" t="s">
        <v>24</v>
      </c>
      <c r="D5" s="49"/>
      <c r="E5" s="49" t="s">
        <v>15</v>
      </c>
      <c r="F5" s="49" t="s">
        <v>16</v>
      </c>
      <c r="G5" s="49" t="s">
        <v>22</v>
      </c>
      <c r="H5" s="49"/>
      <c r="I5" s="49">
        <v>2178052.59</v>
      </c>
      <c r="J5" s="49"/>
      <c r="K5" s="49">
        <v>464715.62</v>
      </c>
      <c r="L5" s="49"/>
    </row>
    <row r="6" s="52" customFormat="1" ht="30" customHeight="1" spans="1:12">
      <c r="A6" s="3">
        <v>4</v>
      </c>
      <c r="B6" s="3" t="s">
        <v>25</v>
      </c>
      <c r="C6" s="49" t="s">
        <v>26</v>
      </c>
      <c r="D6" s="49"/>
      <c r="E6" s="49" t="s">
        <v>15</v>
      </c>
      <c r="F6" s="49" t="s">
        <v>16</v>
      </c>
      <c r="G6" s="49" t="s">
        <v>17</v>
      </c>
      <c r="H6" s="49"/>
      <c r="I6" s="49">
        <v>9342299.63</v>
      </c>
      <c r="J6" s="49"/>
      <c r="K6" s="49">
        <v>6233586.98</v>
      </c>
      <c r="L6" s="49"/>
    </row>
    <row r="7" s="52" customFormat="1" ht="30" customHeight="1" spans="1:12">
      <c r="A7" s="3">
        <v>5</v>
      </c>
      <c r="B7" s="3" t="s">
        <v>27</v>
      </c>
      <c r="C7" s="49" t="s">
        <v>28</v>
      </c>
      <c r="D7" s="49"/>
      <c r="E7" s="49" t="s">
        <v>15</v>
      </c>
      <c r="F7" s="49" t="s">
        <v>16</v>
      </c>
      <c r="G7" s="49" t="s">
        <v>29</v>
      </c>
      <c r="H7" s="49"/>
      <c r="I7" s="49">
        <v>4396787.92</v>
      </c>
      <c r="J7" s="49"/>
      <c r="K7" s="186">
        <v>1962659.29</v>
      </c>
      <c r="L7" s="49"/>
    </row>
    <row r="8" s="52" customFormat="1" ht="30" customHeight="1" spans="1:12">
      <c r="A8" s="3">
        <v>6</v>
      </c>
      <c r="B8" s="3" t="s">
        <v>30</v>
      </c>
      <c r="C8" s="49" t="s">
        <v>31</v>
      </c>
      <c r="D8" s="49"/>
      <c r="E8" s="49" t="s">
        <v>15</v>
      </c>
      <c r="F8" s="49" t="s">
        <v>16</v>
      </c>
      <c r="G8" s="49" t="s">
        <v>32</v>
      </c>
      <c r="H8" s="49"/>
      <c r="I8" s="49">
        <v>561779</v>
      </c>
      <c r="J8" s="49"/>
      <c r="K8" s="186">
        <v>266335.81</v>
      </c>
      <c r="L8" s="49"/>
    </row>
    <row r="9" s="52" customFormat="1" ht="30" customHeight="1" spans="1:12">
      <c r="A9" s="3">
        <v>7</v>
      </c>
      <c r="B9" s="3" t="s">
        <v>33</v>
      </c>
      <c r="C9" s="49" t="s">
        <v>34</v>
      </c>
      <c r="D9" s="49"/>
      <c r="E9" s="49" t="s">
        <v>15</v>
      </c>
      <c r="F9" s="49" t="s">
        <v>16</v>
      </c>
      <c r="G9" s="49"/>
      <c r="H9" s="49"/>
      <c r="I9" s="49">
        <v>2087101.604</v>
      </c>
      <c r="J9" s="49"/>
      <c r="K9" s="186">
        <v>1669681.28</v>
      </c>
      <c r="L9" s="49"/>
    </row>
    <row r="10" s="52" customFormat="1" ht="30" customHeight="1" spans="1:12">
      <c r="A10" s="3">
        <v>8</v>
      </c>
      <c r="B10" s="3" t="s">
        <v>35</v>
      </c>
      <c r="C10" s="49" t="s">
        <v>36</v>
      </c>
      <c r="D10" s="49"/>
      <c r="E10" s="49"/>
      <c r="F10" s="49"/>
      <c r="G10" s="49"/>
      <c r="H10" s="49"/>
      <c r="I10" s="49"/>
      <c r="J10" s="49"/>
      <c r="K10" s="186">
        <v>4373187.77</v>
      </c>
      <c r="L10" s="49"/>
    </row>
    <row r="11" s="52" customFormat="1" ht="30" customHeight="1" spans="1:12">
      <c r="A11" s="3">
        <v>9</v>
      </c>
      <c r="B11" s="3" t="s">
        <v>37</v>
      </c>
      <c r="C11" s="49" t="s">
        <v>38</v>
      </c>
      <c r="D11" s="49"/>
      <c r="E11" s="49"/>
      <c r="F11" s="49"/>
      <c r="G11" s="49"/>
      <c r="H11" s="49"/>
      <c r="I11" s="49">
        <v>5547195.032</v>
      </c>
      <c r="J11" s="49"/>
      <c r="K11" s="186">
        <v>4389102.02</v>
      </c>
      <c r="L11" s="49"/>
    </row>
    <row r="12" s="52" customFormat="1" ht="30" customHeight="1" spans="1:12">
      <c r="A12" s="3"/>
      <c r="B12" s="3" t="s">
        <v>39</v>
      </c>
      <c r="C12" s="49" t="s">
        <v>40</v>
      </c>
      <c r="D12" s="49"/>
      <c r="E12" s="49"/>
      <c r="F12" s="49"/>
      <c r="G12" s="49"/>
      <c r="H12" s="49"/>
      <c r="I12" s="49">
        <v>6742733.34</v>
      </c>
      <c r="J12" s="49"/>
      <c r="K12" s="186">
        <v>6405596.67</v>
      </c>
      <c r="L12" s="49"/>
    </row>
    <row r="13" s="52" customFormat="1" ht="30" customHeight="1" spans="1:12">
      <c r="A13" s="3"/>
      <c r="B13" s="3" t="s">
        <v>41</v>
      </c>
      <c r="C13" s="49" t="s">
        <v>42</v>
      </c>
      <c r="D13" s="49"/>
      <c r="E13" s="49"/>
      <c r="F13" s="49"/>
      <c r="G13" s="49"/>
      <c r="H13" s="49"/>
      <c r="I13" s="49">
        <v>2533405.82</v>
      </c>
      <c r="J13" s="49"/>
      <c r="K13" s="49">
        <v>2533405.82</v>
      </c>
      <c r="L13" s="49"/>
    </row>
    <row r="14" s="52" customFormat="1" ht="30" customHeight="1" spans="1:12">
      <c r="A14" s="3"/>
      <c r="B14" s="3" t="s">
        <v>43</v>
      </c>
      <c r="C14" s="49" t="s">
        <v>44</v>
      </c>
      <c r="D14" s="49"/>
      <c r="E14" s="49"/>
      <c r="F14" s="49"/>
      <c r="G14" s="49"/>
      <c r="H14" s="49"/>
      <c r="I14" s="49">
        <v>2703084.68</v>
      </c>
      <c r="J14" s="49"/>
      <c r="K14" s="186">
        <v>2703084.68</v>
      </c>
      <c r="L14" s="49"/>
    </row>
    <row r="15" s="52" customFormat="1" ht="30" customHeight="1" spans="1:12">
      <c r="A15" s="3"/>
      <c r="B15" s="3" t="s">
        <v>45</v>
      </c>
      <c r="C15" s="49" t="s">
        <v>46</v>
      </c>
      <c r="D15" s="49"/>
      <c r="E15" s="49"/>
      <c r="F15" s="49"/>
      <c r="G15" s="49"/>
      <c r="H15" s="49"/>
      <c r="I15" s="49">
        <v>4849520.597</v>
      </c>
      <c r="J15" s="49"/>
      <c r="K15" s="186">
        <v>3713938.86</v>
      </c>
      <c r="L15" s="49"/>
    </row>
    <row r="16" s="52" customFormat="1" ht="30" customHeight="1" spans="1:12">
      <c r="A16" s="3"/>
      <c r="B16" s="3" t="s">
        <v>47</v>
      </c>
      <c r="C16" s="49">
        <v>2018001</v>
      </c>
      <c r="D16" s="49"/>
      <c r="E16" s="49"/>
      <c r="F16" s="49"/>
      <c r="G16" s="49"/>
      <c r="H16" s="49"/>
      <c r="I16" s="49" t="s">
        <v>48</v>
      </c>
      <c r="J16" s="49"/>
      <c r="K16" s="186"/>
      <c r="L16" s="49"/>
    </row>
    <row r="17" s="52" customFormat="1" ht="30" customHeight="1" spans="1:12">
      <c r="A17" s="3"/>
      <c r="B17" s="3" t="s">
        <v>49</v>
      </c>
      <c r="C17" s="49">
        <v>2018002</v>
      </c>
      <c r="D17" s="49"/>
      <c r="E17" s="49"/>
      <c r="F17" s="49"/>
      <c r="G17" s="49"/>
      <c r="H17" s="49"/>
      <c r="I17" s="49"/>
      <c r="J17" s="49"/>
      <c r="K17" s="186"/>
      <c r="L17" s="49"/>
    </row>
    <row r="18" s="52" customFormat="1" ht="30" customHeight="1" spans="1:12">
      <c r="A18" s="3"/>
      <c r="B18" s="3" t="s">
        <v>50</v>
      </c>
      <c r="C18" s="49">
        <v>2018003</v>
      </c>
      <c r="D18" s="49"/>
      <c r="E18" s="49"/>
      <c r="F18" s="49"/>
      <c r="G18" s="49"/>
      <c r="H18" s="49"/>
      <c r="I18" s="49"/>
      <c r="J18" s="49"/>
      <c r="K18" s="186"/>
      <c r="L18" s="49"/>
    </row>
    <row r="19" s="52" customFormat="1" ht="30" customHeight="1" spans="1:12">
      <c r="A19" s="3"/>
      <c r="B19" s="3" t="s">
        <v>51</v>
      </c>
      <c r="C19" s="49">
        <v>2018004</v>
      </c>
      <c r="D19" s="49"/>
      <c r="E19" s="49"/>
      <c r="F19" s="49"/>
      <c r="G19" s="49"/>
      <c r="H19" s="49"/>
      <c r="I19" s="49"/>
      <c r="J19" s="49"/>
      <c r="K19" s="186"/>
      <c r="L19" s="49"/>
    </row>
    <row r="20" s="52" customFormat="1" ht="30" customHeight="1" spans="1:12">
      <c r="A20" s="3"/>
      <c r="B20" s="3" t="s">
        <v>52</v>
      </c>
      <c r="C20" s="49">
        <v>2018006</v>
      </c>
      <c r="D20" s="49"/>
      <c r="E20" s="49"/>
      <c r="F20" s="49"/>
      <c r="G20" s="49"/>
      <c r="H20" s="49"/>
      <c r="I20" s="49"/>
      <c r="J20" s="49"/>
      <c r="K20" s="186"/>
      <c r="L20" s="49"/>
    </row>
    <row r="21" spans="1:12">
      <c r="A21" s="13" t="s">
        <v>53</v>
      </c>
      <c r="B21" s="13"/>
      <c r="C21" s="13"/>
      <c r="D21" s="13"/>
      <c r="E21" s="13"/>
      <c r="F21" s="13"/>
      <c r="G21" s="13"/>
      <c r="H21" s="13"/>
      <c r="I21" s="49">
        <f>SUM(I3:I16)</f>
        <v>52217423.333</v>
      </c>
      <c r="J21" s="13"/>
      <c r="K21" s="13">
        <f>SUM(K3:K16)</f>
        <v>41488770.25</v>
      </c>
      <c r="L21" s="13"/>
    </row>
    <row r="22" spans="2:3">
      <c r="B22"/>
      <c r="C22"/>
    </row>
    <row r="23" spans="2:3">
      <c r="B23"/>
      <c r="C23"/>
    </row>
    <row r="24" spans="2:3">
      <c r="B24"/>
      <c r="C24"/>
    </row>
    <row r="25" spans="2:3">
      <c r="B25"/>
      <c r="C25"/>
    </row>
    <row r="26" spans="2:3">
      <c r="B26"/>
      <c r="C26"/>
    </row>
    <row r="28" ht="32.1" customHeight="1"/>
    <row r="29" ht="32.1" customHeight="1"/>
    <row r="30" ht="32.1" customHeight="1"/>
    <row r="31" ht="32.1" customHeight="1"/>
    <row r="32" ht="32.1" customHeight="1"/>
    <row r="33" ht="32.1" customHeight="1"/>
    <row r="34" ht="32.1" customHeight="1"/>
    <row r="35" ht="32.1" customHeight="1"/>
    <row r="36" ht="32.1" customHeight="1"/>
    <row r="37" ht="32.1" customHeight="1"/>
    <row r="38" ht="32.1" customHeight="1"/>
    <row r="39" ht="32.1" customHeight="1"/>
    <row r="40" ht="32.1" customHeight="1"/>
    <row r="41" ht="32.1" customHeight="1"/>
    <row r="42" ht="32.1" customHeight="1"/>
    <row r="43" ht="32.1" customHeight="1"/>
    <row r="44" ht="32.1" customHeight="1"/>
    <row r="45" ht="32.1" customHeight="1"/>
    <row r="46" ht="32.1" customHeight="1"/>
    <row r="47" ht="32.1" customHeight="1"/>
    <row r="48" ht="32.1" customHeight="1"/>
    <row r="49" ht="32.1" customHeight="1"/>
    <row r="50" ht="32.1" customHeight="1"/>
    <row r="51" ht="32.1" customHeight="1"/>
    <row r="52" ht="32.1" customHeight="1"/>
    <row r="53" ht="32.1" customHeight="1"/>
    <row r="54" ht="32.1" customHeight="1"/>
    <row r="55" ht="32.1" customHeight="1"/>
    <row r="56" ht="32.1" customHeight="1"/>
    <row r="57" ht="32.1" customHeight="1"/>
    <row r="58" ht="32.1" customHeight="1"/>
    <row r="59" ht="32.1" customHeight="1"/>
  </sheetData>
  <mergeCells count="1">
    <mergeCell ref="A1:L1"/>
  </mergeCells>
  <pageMargins left="0.196527777777778" right="0.0388888888888889" top="0.668055555555556" bottom="1" header="0.511805555555556" footer="0.511805555555556"/>
  <pageSetup paperSize="9" orientation="landscape"/>
  <headerFooter>
    <oddFooter>&amp;C第 &amp;P 页，共 &amp;N 页</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W52"/>
  <sheetViews>
    <sheetView topLeftCell="C1" workbookViewId="0">
      <pane ySplit="3" topLeftCell="A50" activePane="bottomLeft" state="frozen"/>
      <selection/>
      <selection pane="bottomLeft" activeCell="J24" sqref="J24"/>
    </sheetView>
  </sheetViews>
  <sheetFormatPr defaultColWidth="9" defaultRowHeight="14.25"/>
  <cols>
    <col min="1" max="1" width="5.50833333333333" customWidth="1"/>
    <col min="2" max="2" width="21.6916666666667" customWidth="1"/>
    <col min="3" max="3" width="7.25" customWidth="1"/>
    <col min="4" max="4" width="27" customWidth="1"/>
    <col min="5" max="5" width="6.86666666666667" customWidth="1"/>
    <col min="6" max="6" width="9.93333333333333" customWidth="1"/>
    <col min="7" max="8" width="10.325" customWidth="1"/>
    <col min="9" max="9" width="11.1833333333333" customWidth="1"/>
    <col min="10" max="10" width="10.9916666666667" customWidth="1"/>
    <col min="11" max="11" width="10.125" customWidth="1"/>
    <col min="12" max="12" width="11.0583333333333" customWidth="1"/>
    <col min="13" max="13" width="6.475" customWidth="1"/>
    <col min="14" max="14" width="12" customWidth="1"/>
    <col min="15" max="15" width="11.75" customWidth="1"/>
  </cols>
  <sheetData>
    <row r="1" ht="27" spans="1:15">
      <c r="A1" s="165" t="s">
        <v>54</v>
      </c>
      <c r="B1" s="166"/>
      <c r="C1" s="166"/>
      <c r="D1" s="166"/>
      <c r="E1" s="165"/>
      <c r="F1" s="165"/>
      <c r="G1" s="165"/>
      <c r="H1" s="165"/>
      <c r="I1" s="165"/>
      <c r="J1" s="165"/>
      <c r="K1" s="165"/>
      <c r="L1" s="165"/>
      <c r="M1" s="165"/>
      <c r="N1" s="165"/>
      <c r="O1" s="165"/>
    </row>
    <row r="2" ht="19" customHeight="1" spans="1:15">
      <c r="A2" s="208" t="s">
        <v>1</v>
      </c>
      <c r="B2" s="209" t="s">
        <v>2</v>
      </c>
      <c r="C2" s="209" t="s">
        <v>3</v>
      </c>
      <c r="D2" s="209" t="s">
        <v>55</v>
      </c>
      <c r="E2" s="208" t="s">
        <v>4</v>
      </c>
      <c r="F2" s="168" t="s">
        <v>56</v>
      </c>
      <c r="G2" s="169"/>
      <c r="H2" s="169"/>
      <c r="I2" s="169"/>
      <c r="J2" s="228" t="s">
        <v>57</v>
      </c>
      <c r="K2" s="167" t="s">
        <v>58</v>
      </c>
      <c r="L2" s="167" t="s">
        <v>59</v>
      </c>
      <c r="M2" s="70" t="s">
        <v>60</v>
      </c>
      <c r="N2" s="70" t="s">
        <v>61</v>
      </c>
      <c r="O2" s="208" t="s">
        <v>12</v>
      </c>
    </row>
    <row r="3" ht="24" customHeight="1" spans="1:15">
      <c r="A3" s="210"/>
      <c r="B3" s="211"/>
      <c r="C3" s="211"/>
      <c r="D3" s="211"/>
      <c r="E3" s="210"/>
      <c r="F3" s="139" t="s">
        <v>62</v>
      </c>
      <c r="G3" s="139" t="s">
        <v>63</v>
      </c>
      <c r="H3" s="168" t="s">
        <v>64</v>
      </c>
      <c r="I3" s="168" t="s">
        <v>65</v>
      </c>
      <c r="J3" s="229"/>
      <c r="K3" s="167"/>
      <c r="L3" s="167"/>
      <c r="M3" s="70"/>
      <c r="N3" s="70"/>
      <c r="O3" s="210"/>
    </row>
    <row r="4" ht="33" customHeight="1" spans="1:15">
      <c r="A4" s="139">
        <v>1</v>
      </c>
      <c r="B4" s="70" t="s">
        <v>66</v>
      </c>
      <c r="C4" s="223" t="s">
        <v>67</v>
      </c>
      <c r="D4" s="223"/>
      <c r="E4" s="139">
        <v>1</v>
      </c>
      <c r="F4" s="139">
        <v>1168.92</v>
      </c>
      <c r="G4" s="139">
        <v>2727.47</v>
      </c>
      <c r="H4" s="139"/>
      <c r="I4" s="139"/>
      <c r="J4" t="s">
        <v>68</v>
      </c>
      <c r="K4" s="139"/>
      <c r="L4" s="230"/>
      <c r="M4" s="231"/>
      <c r="N4" s="232"/>
      <c r="O4" s="70" t="s">
        <v>69</v>
      </c>
    </row>
    <row r="5" ht="33" customHeight="1" spans="1:15">
      <c r="A5" s="139">
        <v>2</v>
      </c>
      <c r="B5" s="70" t="s">
        <v>70</v>
      </c>
      <c r="C5" s="223" t="s">
        <v>71</v>
      </c>
      <c r="D5" s="223"/>
      <c r="E5" s="139">
        <v>1</v>
      </c>
      <c r="F5" s="139">
        <v>1672.967</v>
      </c>
      <c r="G5" s="139">
        <v>3903.59</v>
      </c>
      <c r="H5" s="139"/>
      <c r="I5" s="139"/>
      <c r="J5" s="139" t="s">
        <v>72</v>
      </c>
      <c r="K5" s="139"/>
      <c r="L5" s="139"/>
      <c r="M5" s="139"/>
      <c r="N5" s="139"/>
      <c r="O5" s="70" t="s">
        <v>69</v>
      </c>
    </row>
    <row r="6" ht="33" customHeight="1" spans="1:15">
      <c r="A6" s="208">
        <v>3</v>
      </c>
      <c r="B6" s="209" t="s">
        <v>73</v>
      </c>
      <c r="C6" s="224" t="s">
        <v>74</v>
      </c>
      <c r="D6" s="224"/>
      <c r="E6" s="208">
        <v>1</v>
      </c>
      <c r="F6" s="208">
        <v>134.28</v>
      </c>
      <c r="G6" s="208">
        <v>313.32</v>
      </c>
      <c r="H6" s="208"/>
      <c r="I6" s="208"/>
      <c r="J6" s="208" t="s">
        <v>72</v>
      </c>
      <c r="K6" s="208"/>
      <c r="L6" s="208"/>
      <c r="M6" s="208"/>
      <c r="N6" s="208"/>
      <c r="O6" s="209" t="s">
        <v>69</v>
      </c>
    </row>
    <row r="7" s="15" customFormat="1" ht="33" customHeight="1" spans="1:15">
      <c r="A7" s="139">
        <v>4</v>
      </c>
      <c r="B7" s="70" t="s">
        <v>75</v>
      </c>
      <c r="C7" s="223" t="s">
        <v>76</v>
      </c>
      <c r="D7" s="223"/>
      <c r="E7" s="139"/>
      <c r="F7" s="139">
        <v>241.27</v>
      </c>
      <c r="G7" s="139">
        <v>965.08</v>
      </c>
      <c r="H7" s="139"/>
      <c r="I7" s="139"/>
      <c r="J7" s="139" t="s">
        <v>77</v>
      </c>
      <c r="K7" s="139"/>
      <c r="L7" s="139"/>
      <c r="M7" s="139"/>
      <c r="N7" s="139"/>
      <c r="O7" s="70" t="s">
        <v>69</v>
      </c>
    </row>
    <row r="8" s="15" customFormat="1" ht="33" customHeight="1" spans="1:15">
      <c r="A8" s="139">
        <v>5</v>
      </c>
      <c r="B8" s="70" t="s">
        <v>78</v>
      </c>
      <c r="C8" s="223" t="s">
        <v>79</v>
      </c>
      <c r="D8" s="223"/>
      <c r="E8" s="139"/>
      <c r="F8" s="139">
        <v>323.39</v>
      </c>
      <c r="G8" s="139">
        <v>1293.55</v>
      </c>
      <c r="H8" s="139"/>
      <c r="I8" s="139"/>
      <c r="J8" s="139" t="s">
        <v>80</v>
      </c>
      <c r="K8" s="139"/>
      <c r="L8" s="139"/>
      <c r="M8" s="139"/>
      <c r="N8" s="139"/>
      <c r="O8" s="209" t="s">
        <v>69</v>
      </c>
    </row>
    <row r="9" s="15" customFormat="1" ht="26.25" customHeight="1" spans="1:15">
      <c r="A9" s="208">
        <v>6</v>
      </c>
      <c r="B9" s="70" t="s">
        <v>81</v>
      </c>
      <c r="C9" s="223" t="s">
        <v>82</v>
      </c>
      <c r="D9" s="223"/>
      <c r="E9" s="13"/>
      <c r="F9" s="13">
        <v>236.55</v>
      </c>
      <c r="G9" s="13">
        <v>551.95</v>
      </c>
      <c r="H9" s="13"/>
      <c r="I9" s="13"/>
      <c r="J9" s="139" t="s">
        <v>77</v>
      </c>
      <c r="K9" s="13"/>
      <c r="L9" s="13"/>
      <c r="M9" s="13"/>
      <c r="N9" s="13"/>
      <c r="O9" s="70" t="s">
        <v>69</v>
      </c>
    </row>
    <row r="10" s="15" customFormat="1" ht="26.25" customHeight="1" spans="1:15">
      <c r="A10" s="139">
        <v>7</v>
      </c>
      <c r="B10" s="70" t="s">
        <v>83</v>
      </c>
      <c r="C10" s="223" t="s">
        <v>84</v>
      </c>
      <c r="D10" s="223"/>
      <c r="E10" s="13"/>
      <c r="F10" s="13">
        <v>282.19</v>
      </c>
      <c r="G10" s="13">
        <v>1128.76</v>
      </c>
      <c r="H10" s="13"/>
      <c r="I10" s="13"/>
      <c r="J10" s="139" t="s">
        <v>77</v>
      </c>
      <c r="K10" s="13"/>
      <c r="L10" s="13"/>
      <c r="M10" s="13"/>
      <c r="N10" s="13"/>
      <c r="O10" s="209" t="s">
        <v>69</v>
      </c>
    </row>
    <row r="11" s="15" customFormat="1" ht="33.75" customHeight="1" spans="1:15">
      <c r="A11" s="139">
        <v>8</v>
      </c>
      <c r="B11" s="51" t="s">
        <v>85</v>
      </c>
      <c r="C11" s="223" t="s">
        <v>86</v>
      </c>
      <c r="D11" s="223"/>
      <c r="E11" s="13"/>
      <c r="F11" s="13"/>
      <c r="G11" s="13"/>
      <c r="H11" s="13"/>
      <c r="I11" s="50" t="s">
        <v>87</v>
      </c>
      <c r="J11" s="51" t="s">
        <v>88</v>
      </c>
      <c r="K11" s="13"/>
      <c r="L11" s="13"/>
      <c r="M11" s="13"/>
      <c r="N11" s="13"/>
      <c r="O11" s="70" t="s">
        <v>69</v>
      </c>
    </row>
    <row r="12" s="15" customFormat="1" ht="33.75" customHeight="1" spans="1:15">
      <c r="A12" s="139">
        <v>9</v>
      </c>
      <c r="B12" s="51" t="s">
        <v>85</v>
      </c>
      <c r="C12" s="223" t="s">
        <v>89</v>
      </c>
      <c r="D12" s="223"/>
      <c r="E12" s="13"/>
      <c r="F12" s="13"/>
      <c r="G12" s="13"/>
      <c r="H12" s="13"/>
      <c r="I12" s="50"/>
      <c r="J12" s="51" t="s">
        <v>90</v>
      </c>
      <c r="K12" s="13"/>
      <c r="L12" s="13"/>
      <c r="M12" s="13"/>
      <c r="N12" s="13"/>
      <c r="O12" s="70"/>
    </row>
    <row r="13" s="15" customFormat="1" ht="29.25" customHeight="1" spans="1:15">
      <c r="A13" s="139">
        <v>10</v>
      </c>
      <c r="B13" s="51" t="s">
        <v>91</v>
      </c>
      <c r="C13" s="224" t="s">
        <v>92</v>
      </c>
      <c r="D13" s="224"/>
      <c r="E13" s="107"/>
      <c r="F13" s="107">
        <v>68.64</v>
      </c>
      <c r="G13" s="107">
        <v>617.76</v>
      </c>
      <c r="H13" s="107"/>
      <c r="I13" s="107"/>
      <c r="J13" s="82" t="s">
        <v>93</v>
      </c>
      <c r="K13" s="107"/>
      <c r="L13" s="107"/>
      <c r="M13" s="107"/>
      <c r="N13" s="107"/>
      <c r="O13" s="233" t="s">
        <v>94</v>
      </c>
    </row>
    <row r="14" customFormat="1" ht="29.25" customHeight="1" spans="1:75">
      <c r="A14" s="174"/>
      <c r="B14" s="36"/>
      <c r="C14" s="225" t="s">
        <v>95</v>
      </c>
      <c r="D14" s="226"/>
      <c r="E14" s="226"/>
      <c r="F14" s="226"/>
      <c r="G14" s="226"/>
      <c r="H14" s="226"/>
      <c r="I14" s="226"/>
      <c r="J14" s="226"/>
      <c r="K14" s="226"/>
      <c r="L14" s="226"/>
      <c r="M14" s="226"/>
      <c r="N14" s="226"/>
      <c r="O14" s="234"/>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row>
    <row r="15" ht="36" customHeight="1" spans="3:75">
      <c r="C15" s="13">
        <v>1</v>
      </c>
      <c r="D15" s="13" t="s">
        <v>96</v>
      </c>
      <c r="E15" s="13">
        <v>2</v>
      </c>
      <c r="F15" s="13">
        <v>3644.24</v>
      </c>
      <c r="G15" s="13">
        <v>11292.51</v>
      </c>
      <c r="H15" s="13"/>
      <c r="I15" s="13"/>
      <c r="J15" s="13"/>
      <c r="K15" s="13"/>
      <c r="L15" s="13"/>
      <c r="M15" s="13"/>
      <c r="N15" s="13" t="s">
        <v>97</v>
      </c>
      <c r="O15" s="13" t="s">
        <v>98</v>
      </c>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row>
    <row r="16" ht="36" customHeight="1" spans="3:15">
      <c r="C16" s="13">
        <v>2</v>
      </c>
      <c r="D16" s="13" t="s">
        <v>99</v>
      </c>
      <c r="E16" s="13">
        <v>2</v>
      </c>
      <c r="F16" s="13"/>
      <c r="G16" s="13"/>
      <c r="H16" s="13"/>
      <c r="I16" s="13" t="s">
        <v>100</v>
      </c>
      <c r="J16" s="13"/>
      <c r="K16" s="13"/>
      <c r="L16" s="13"/>
      <c r="M16" s="13"/>
      <c r="N16" s="13" t="s">
        <v>97</v>
      </c>
      <c r="O16" s="13"/>
    </row>
    <row r="17" ht="36" customHeight="1" spans="3:15">
      <c r="C17" s="13">
        <v>3</v>
      </c>
      <c r="D17" s="202" t="s">
        <v>101</v>
      </c>
      <c r="E17" s="13">
        <v>5</v>
      </c>
      <c r="F17" s="13"/>
      <c r="G17" s="13"/>
      <c r="H17" s="13">
        <v>520.88</v>
      </c>
      <c r="I17" s="13"/>
      <c r="J17" s="13"/>
      <c r="K17" s="13"/>
      <c r="L17" s="13"/>
      <c r="M17" s="13"/>
      <c r="N17" s="13"/>
      <c r="O17" s="13"/>
    </row>
    <row r="18" ht="36" customHeight="1" spans="3:15">
      <c r="C18" s="13">
        <v>4</v>
      </c>
      <c r="D18" s="13" t="s">
        <v>102</v>
      </c>
      <c r="E18" s="13">
        <v>5</v>
      </c>
      <c r="F18" s="13"/>
      <c r="G18" s="13"/>
      <c r="H18" s="13">
        <v>50.81</v>
      </c>
      <c r="I18" s="13"/>
      <c r="J18" s="13"/>
      <c r="K18" s="13"/>
      <c r="L18" s="13"/>
      <c r="M18" s="13"/>
      <c r="N18" s="13"/>
      <c r="O18" s="13"/>
    </row>
    <row r="19" ht="36" customHeight="1" spans="3:15">
      <c r="C19" s="13">
        <v>5</v>
      </c>
      <c r="D19" s="202" t="s">
        <v>103</v>
      </c>
      <c r="E19" s="13">
        <v>5</v>
      </c>
      <c r="F19" s="13"/>
      <c r="G19" s="13"/>
      <c r="H19" s="13">
        <v>301.32</v>
      </c>
      <c r="I19" s="13"/>
      <c r="J19" s="13"/>
      <c r="K19" s="13"/>
      <c r="L19" s="13"/>
      <c r="M19" s="13"/>
      <c r="N19" s="13"/>
      <c r="O19" s="13"/>
    </row>
    <row r="20" ht="36" customHeight="1" spans="3:15">
      <c r="C20" s="13">
        <v>6</v>
      </c>
      <c r="D20" s="13" t="s">
        <v>104</v>
      </c>
      <c r="E20" s="13">
        <v>5</v>
      </c>
      <c r="F20" s="13"/>
      <c r="G20" s="13"/>
      <c r="H20" s="13"/>
      <c r="I20" s="202" t="s">
        <v>105</v>
      </c>
      <c r="J20" s="13"/>
      <c r="K20" s="13"/>
      <c r="L20" s="13"/>
      <c r="M20" s="13"/>
      <c r="N20" s="13"/>
      <c r="O20" s="13"/>
    </row>
    <row r="21" ht="36" customHeight="1" spans="3:15">
      <c r="C21" s="13">
        <v>7</v>
      </c>
      <c r="D21" s="13" t="s">
        <v>106</v>
      </c>
      <c r="E21" s="13">
        <v>5</v>
      </c>
      <c r="F21" s="13"/>
      <c r="G21" s="13"/>
      <c r="H21" s="13">
        <v>215.46</v>
      </c>
      <c r="I21" s="49" t="s">
        <v>107</v>
      </c>
      <c r="J21" s="13"/>
      <c r="K21" s="13"/>
      <c r="L21" s="13"/>
      <c r="M21" s="13"/>
      <c r="N21" s="13" t="s">
        <v>108</v>
      </c>
      <c r="O21" s="13"/>
    </row>
    <row r="22" ht="36" customHeight="1" spans="3:15">
      <c r="C22" s="13">
        <v>8</v>
      </c>
      <c r="D22" s="202" t="s">
        <v>109</v>
      </c>
      <c r="E22" s="13">
        <v>5</v>
      </c>
      <c r="F22" s="13">
        <v>185.04</v>
      </c>
      <c r="G22" s="13">
        <v>431.76</v>
      </c>
      <c r="H22" s="13"/>
      <c r="I22" s="13"/>
      <c r="J22" s="13"/>
      <c r="K22" s="13"/>
      <c r="L22" s="13"/>
      <c r="M22" s="13"/>
      <c r="N22" s="13" t="s">
        <v>108</v>
      </c>
      <c r="O22" s="13"/>
    </row>
    <row r="23" ht="36" customHeight="1" spans="3:15">
      <c r="C23" s="13">
        <v>9</v>
      </c>
      <c r="D23" s="13" t="s">
        <v>110</v>
      </c>
      <c r="E23" s="13">
        <v>5</v>
      </c>
      <c r="F23" s="13">
        <v>68.64</v>
      </c>
      <c r="G23" s="13">
        <v>617.76</v>
      </c>
      <c r="H23" s="13"/>
      <c r="I23" s="13"/>
      <c r="J23" s="13"/>
      <c r="K23" s="13"/>
      <c r="L23" s="13"/>
      <c r="M23" s="13"/>
      <c r="N23" s="13" t="s">
        <v>108</v>
      </c>
      <c r="O23" s="13"/>
    </row>
    <row r="24" ht="36" customHeight="1" spans="3:15">
      <c r="C24" s="13">
        <v>10</v>
      </c>
      <c r="D24" s="13" t="s">
        <v>111</v>
      </c>
      <c r="E24" s="13">
        <v>5</v>
      </c>
      <c r="F24" s="13">
        <v>3.024</v>
      </c>
      <c r="G24" s="13">
        <v>4.536</v>
      </c>
      <c r="H24" s="13"/>
      <c r="I24" s="13"/>
      <c r="J24" s="13"/>
      <c r="K24" s="13"/>
      <c r="L24" s="13"/>
      <c r="M24" s="13"/>
      <c r="N24" s="13" t="s">
        <v>108</v>
      </c>
      <c r="O24" s="13"/>
    </row>
    <row r="25" ht="36" customHeight="1" spans="3:15">
      <c r="C25" s="13">
        <v>11</v>
      </c>
      <c r="D25" s="227" t="s">
        <v>112</v>
      </c>
      <c r="E25" s="13">
        <v>5</v>
      </c>
      <c r="F25" s="13">
        <v>28.71</v>
      </c>
      <c r="G25" s="13">
        <v>66.99</v>
      </c>
      <c r="H25" s="13"/>
      <c r="I25" s="13"/>
      <c r="J25" s="13"/>
      <c r="K25" s="13"/>
      <c r="L25" s="13"/>
      <c r="M25" s="13"/>
      <c r="N25" s="13" t="s">
        <v>108</v>
      </c>
      <c r="O25" s="13"/>
    </row>
    <row r="26" ht="36" customHeight="1" spans="3:15">
      <c r="C26" s="13">
        <v>12</v>
      </c>
      <c r="D26" s="13" t="s">
        <v>113</v>
      </c>
      <c r="E26" s="13">
        <v>5</v>
      </c>
      <c r="F26" s="13">
        <v>24</v>
      </c>
      <c r="G26" s="13">
        <v>96</v>
      </c>
      <c r="H26" s="13"/>
      <c r="I26" s="13"/>
      <c r="J26" s="13"/>
      <c r="K26" s="13"/>
      <c r="L26" s="13"/>
      <c r="M26" s="13"/>
      <c r="N26" s="13" t="s">
        <v>108</v>
      </c>
      <c r="O26" s="13"/>
    </row>
    <row r="27" ht="33" customHeight="1" spans="3:15">
      <c r="C27" s="13">
        <v>13</v>
      </c>
      <c r="D27" s="13" t="s">
        <v>114</v>
      </c>
      <c r="E27" s="13">
        <v>5</v>
      </c>
      <c r="F27" s="13">
        <v>595.35</v>
      </c>
      <c r="G27" s="13">
        <v>1389.15</v>
      </c>
      <c r="H27" s="13"/>
      <c r="I27" s="13"/>
      <c r="J27" s="13"/>
      <c r="K27" s="13"/>
      <c r="L27" s="13"/>
      <c r="M27" s="13"/>
      <c r="N27" s="13" t="s">
        <v>108</v>
      </c>
      <c r="O27" s="13"/>
    </row>
    <row r="28" ht="36" customHeight="1" spans="3:15">
      <c r="C28" s="13">
        <v>14</v>
      </c>
      <c r="D28" s="13" t="s">
        <v>115</v>
      </c>
      <c r="E28" s="13">
        <v>5</v>
      </c>
      <c r="F28" s="13">
        <v>29.12</v>
      </c>
      <c r="G28" s="13">
        <v>43.68</v>
      </c>
      <c r="H28" s="13"/>
      <c r="I28" s="13"/>
      <c r="J28" s="13"/>
      <c r="K28" s="13"/>
      <c r="L28" s="13"/>
      <c r="M28" s="13"/>
      <c r="N28" s="13" t="s">
        <v>108</v>
      </c>
      <c r="O28" s="13"/>
    </row>
    <row r="29" ht="36" customHeight="1" spans="3:15">
      <c r="C29" s="13">
        <v>15</v>
      </c>
      <c r="D29" s="227" t="s">
        <v>116</v>
      </c>
      <c r="E29" s="13">
        <v>5</v>
      </c>
      <c r="F29" s="13">
        <v>70.434</v>
      </c>
      <c r="G29" s="13">
        <v>281.736</v>
      </c>
      <c r="H29" s="13"/>
      <c r="I29" s="13"/>
      <c r="J29" s="13"/>
      <c r="K29" s="13"/>
      <c r="L29" s="13"/>
      <c r="M29" s="13"/>
      <c r="N29" s="13" t="s">
        <v>108</v>
      </c>
      <c r="O29" s="13"/>
    </row>
    <row r="30" ht="36" customHeight="1" spans="3:15">
      <c r="C30" s="13">
        <v>16</v>
      </c>
      <c r="D30" s="227" t="s">
        <v>117</v>
      </c>
      <c r="E30" s="13">
        <v>5</v>
      </c>
      <c r="F30" s="13">
        <v>36.965</v>
      </c>
      <c r="G30" s="13">
        <v>54.579</v>
      </c>
      <c r="H30" s="13"/>
      <c r="I30" s="13"/>
      <c r="J30" s="13"/>
      <c r="K30" s="13"/>
      <c r="L30" s="13"/>
      <c r="M30" s="13"/>
      <c r="N30" s="13" t="s">
        <v>108</v>
      </c>
      <c r="O30" s="13"/>
    </row>
    <row r="31" ht="36" customHeight="1" spans="3:15">
      <c r="C31" s="13">
        <v>17</v>
      </c>
      <c r="D31" s="13" t="s">
        <v>118</v>
      </c>
      <c r="E31" s="13">
        <v>5</v>
      </c>
      <c r="F31" s="13">
        <v>134.4</v>
      </c>
      <c r="G31" s="13">
        <v>537.6</v>
      </c>
      <c r="H31" s="13"/>
      <c r="I31" s="13"/>
      <c r="J31" s="13"/>
      <c r="K31" s="13"/>
      <c r="L31" s="13"/>
      <c r="M31" s="13"/>
      <c r="N31" s="13" t="s">
        <v>108</v>
      </c>
      <c r="O31" s="13"/>
    </row>
    <row r="32" ht="36" customHeight="1" spans="3:15">
      <c r="C32" s="13">
        <v>18</v>
      </c>
      <c r="D32" s="13" t="s">
        <v>119</v>
      </c>
      <c r="E32" s="13">
        <v>5</v>
      </c>
      <c r="F32" s="13">
        <v>17.4</v>
      </c>
      <c r="G32" s="13">
        <v>40.6</v>
      </c>
      <c r="H32" s="13"/>
      <c r="I32" s="13"/>
      <c r="J32" s="13"/>
      <c r="K32" s="13"/>
      <c r="L32" s="13"/>
      <c r="M32" s="13"/>
      <c r="N32" s="13" t="s">
        <v>108</v>
      </c>
      <c r="O32" s="13"/>
    </row>
    <row r="33" ht="36" customHeight="1" spans="3:15">
      <c r="C33" s="13">
        <v>19</v>
      </c>
      <c r="D33" s="13" t="s">
        <v>120</v>
      </c>
      <c r="E33" s="13">
        <v>5</v>
      </c>
      <c r="F33" s="13">
        <v>149.625</v>
      </c>
      <c r="G33" s="13">
        <v>349.125</v>
      </c>
      <c r="H33" s="13"/>
      <c r="I33" s="13"/>
      <c r="J33" s="13"/>
      <c r="K33" s="13"/>
      <c r="L33" s="13"/>
      <c r="M33" s="13"/>
      <c r="N33" s="13" t="s">
        <v>108</v>
      </c>
      <c r="O33" s="13"/>
    </row>
    <row r="34" ht="36" customHeight="1" spans="3:15">
      <c r="C34" s="13">
        <v>20</v>
      </c>
      <c r="D34" s="13" t="s">
        <v>121</v>
      </c>
      <c r="E34" s="13">
        <v>5</v>
      </c>
      <c r="F34" s="13">
        <v>903.97</v>
      </c>
      <c r="G34" s="13">
        <v>2109.26</v>
      </c>
      <c r="H34" s="13"/>
      <c r="I34" s="13"/>
      <c r="J34" s="13"/>
      <c r="K34" s="13"/>
      <c r="L34" s="13"/>
      <c r="M34" s="13"/>
      <c r="N34" s="13" t="s">
        <v>108</v>
      </c>
      <c r="O34" s="13"/>
    </row>
    <row r="35" ht="36" customHeight="1" spans="3:15">
      <c r="C35" s="13">
        <v>21</v>
      </c>
      <c r="D35" s="49" t="s">
        <v>122</v>
      </c>
      <c r="E35" s="13">
        <v>5</v>
      </c>
      <c r="F35" s="13"/>
      <c r="G35" s="13"/>
      <c r="H35" s="13">
        <v>29.43</v>
      </c>
      <c r="I35" s="13"/>
      <c r="J35" s="13"/>
      <c r="K35" s="13"/>
      <c r="L35" s="13"/>
      <c r="M35" s="13"/>
      <c r="N35" s="14">
        <v>43019</v>
      </c>
      <c r="O35" s="13"/>
    </row>
    <row r="36" ht="36" customHeight="1" spans="3:15">
      <c r="C36" s="13">
        <v>22</v>
      </c>
      <c r="D36" s="49" t="s">
        <v>123</v>
      </c>
      <c r="E36" s="13">
        <v>5</v>
      </c>
      <c r="F36" s="13"/>
      <c r="G36" s="13"/>
      <c r="H36" s="13">
        <v>413.67</v>
      </c>
      <c r="I36" s="13"/>
      <c r="J36" s="13"/>
      <c r="K36" s="13"/>
      <c r="L36" s="13"/>
      <c r="M36" s="13"/>
      <c r="N36" s="14">
        <v>43019</v>
      </c>
      <c r="O36" s="13"/>
    </row>
    <row r="37" ht="36" customHeight="1" spans="3:15">
      <c r="C37" s="13">
        <v>23</v>
      </c>
      <c r="D37" s="49" t="s">
        <v>124</v>
      </c>
      <c r="E37" s="13">
        <v>5</v>
      </c>
      <c r="F37" s="13"/>
      <c r="G37" s="13"/>
      <c r="H37" s="13">
        <v>56.24</v>
      </c>
      <c r="I37" s="13"/>
      <c r="J37" s="13"/>
      <c r="K37" s="13"/>
      <c r="L37" s="13"/>
      <c r="M37" s="13"/>
      <c r="N37" s="13"/>
      <c r="O37" s="13"/>
    </row>
    <row r="38" ht="36" customHeight="1" spans="3:15">
      <c r="C38" s="13">
        <v>24</v>
      </c>
      <c r="D38" s="49" t="s">
        <v>125</v>
      </c>
      <c r="E38" s="13">
        <v>5</v>
      </c>
      <c r="F38" s="13"/>
      <c r="G38" s="13"/>
      <c r="H38" s="13">
        <v>277.79</v>
      </c>
      <c r="I38" s="13"/>
      <c r="J38" s="13"/>
      <c r="K38" s="13"/>
      <c r="L38" s="13"/>
      <c r="M38" s="13"/>
      <c r="N38" s="13"/>
      <c r="O38" s="13"/>
    </row>
    <row r="39" ht="36" customHeight="1" spans="3:15">
      <c r="C39" s="13">
        <v>25</v>
      </c>
      <c r="D39" s="49" t="s">
        <v>126</v>
      </c>
      <c r="E39" s="13">
        <v>5</v>
      </c>
      <c r="F39" s="13"/>
      <c r="G39" s="13"/>
      <c r="H39" s="13">
        <v>14.65</v>
      </c>
      <c r="I39" s="13"/>
      <c r="J39" s="13"/>
      <c r="K39" s="13"/>
      <c r="L39" s="13"/>
      <c r="M39" s="13"/>
      <c r="N39" s="13" t="s">
        <v>127</v>
      </c>
      <c r="O39" s="13"/>
    </row>
    <row r="40" ht="36" customHeight="1" spans="3:15">
      <c r="C40" s="13">
        <v>26</v>
      </c>
      <c r="D40" s="49" t="s">
        <v>128</v>
      </c>
      <c r="E40" s="13">
        <v>5</v>
      </c>
      <c r="F40" s="13"/>
      <c r="G40" s="13"/>
      <c r="H40" s="13">
        <v>72.23</v>
      </c>
      <c r="I40" s="13"/>
      <c r="J40" s="13"/>
      <c r="K40" s="13"/>
      <c r="L40" s="13"/>
      <c r="M40" s="13"/>
      <c r="N40" s="13" t="s">
        <v>127</v>
      </c>
      <c r="O40" s="13"/>
    </row>
    <row r="41" ht="36" customHeight="1" spans="3:15">
      <c r="C41" s="13">
        <v>27</v>
      </c>
      <c r="D41" s="49" t="s">
        <v>129</v>
      </c>
      <c r="E41" s="13">
        <v>5</v>
      </c>
      <c r="F41" s="13"/>
      <c r="G41" s="13"/>
      <c r="H41" s="13">
        <v>41.944</v>
      </c>
      <c r="I41" s="13"/>
      <c r="J41" s="13"/>
      <c r="K41" s="13"/>
      <c r="L41" s="13"/>
      <c r="M41" s="13"/>
      <c r="N41" s="13" t="s">
        <v>127</v>
      </c>
      <c r="O41" s="13"/>
    </row>
    <row r="42" ht="36" customHeight="1" spans="3:15">
      <c r="C42" s="13">
        <v>28</v>
      </c>
      <c r="D42" s="49" t="s">
        <v>130</v>
      </c>
      <c r="E42" s="13">
        <v>5</v>
      </c>
      <c r="F42" s="13"/>
      <c r="G42" s="13"/>
      <c r="H42" s="13">
        <v>145.457</v>
      </c>
      <c r="I42" s="13"/>
      <c r="J42" s="13"/>
      <c r="K42" s="13"/>
      <c r="L42" s="13"/>
      <c r="M42" s="13"/>
      <c r="N42" s="13" t="s">
        <v>127</v>
      </c>
      <c r="O42" s="13"/>
    </row>
    <row r="43" ht="36" customHeight="1" spans="3:15">
      <c r="C43" s="13"/>
      <c r="D43" s="49" t="s">
        <v>131</v>
      </c>
      <c r="E43" s="13">
        <v>5</v>
      </c>
      <c r="F43" s="13"/>
      <c r="G43" s="13"/>
      <c r="H43" s="13">
        <v>12.4</v>
      </c>
      <c r="I43" s="13"/>
      <c r="J43" s="13"/>
      <c r="K43" s="13"/>
      <c r="L43" s="13"/>
      <c r="M43" s="13"/>
      <c r="N43" s="13" t="s">
        <v>127</v>
      </c>
      <c r="O43" s="13"/>
    </row>
    <row r="44" ht="36" customHeight="1" spans="3:15">
      <c r="C44" s="13"/>
      <c r="D44" s="13" t="s">
        <v>132</v>
      </c>
      <c r="E44" s="13">
        <v>5</v>
      </c>
      <c r="F44" s="13"/>
      <c r="G44" s="13"/>
      <c r="H44" s="13">
        <v>34.3</v>
      </c>
      <c r="I44" s="13"/>
      <c r="J44" s="13"/>
      <c r="K44" s="13"/>
      <c r="L44" s="13"/>
      <c r="M44" s="13"/>
      <c r="N44" s="13"/>
      <c r="O44" s="13"/>
    </row>
    <row r="45" ht="36" customHeight="1" spans="3:15">
      <c r="C45" s="13"/>
      <c r="D45" s="13" t="s">
        <v>133</v>
      </c>
      <c r="E45" s="13">
        <v>5</v>
      </c>
      <c r="F45" s="13"/>
      <c r="G45" s="13"/>
      <c r="H45" s="13">
        <v>32.668</v>
      </c>
      <c r="I45" s="13"/>
      <c r="J45" s="13"/>
      <c r="K45" s="13"/>
      <c r="L45" s="13"/>
      <c r="M45" s="13"/>
      <c r="N45" s="13"/>
      <c r="O45" s="13"/>
    </row>
    <row r="46" ht="36" customHeight="1" spans="3:15">
      <c r="C46" s="13"/>
      <c r="D46" s="49" t="s">
        <v>134</v>
      </c>
      <c r="E46" s="13">
        <v>5</v>
      </c>
      <c r="F46" s="13"/>
      <c r="G46" s="13"/>
      <c r="H46" s="13">
        <v>39.425</v>
      </c>
      <c r="I46" s="13"/>
      <c r="J46" s="13"/>
      <c r="K46" s="13"/>
      <c r="L46" s="13"/>
      <c r="M46" s="13"/>
      <c r="N46" s="13"/>
      <c r="O46" s="13"/>
    </row>
    <row r="47" ht="36" customHeight="1" spans="3:15">
      <c r="C47" s="13"/>
      <c r="D47" s="50" t="s">
        <v>135</v>
      </c>
      <c r="E47" s="13">
        <v>5</v>
      </c>
      <c r="F47" s="13"/>
      <c r="G47" s="13"/>
      <c r="H47" s="13">
        <v>672.45</v>
      </c>
      <c r="I47" s="13"/>
      <c r="J47" s="13"/>
      <c r="K47" s="13"/>
      <c r="L47" s="13"/>
      <c r="M47" s="13"/>
      <c r="N47" s="13"/>
      <c r="O47" s="13"/>
    </row>
    <row r="48" ht="36" customHeight="1" spans="3:15">
      <c r="C48" s="13"/>
      <c r="D48" s="13"/>
      <c r="E48" s="13"/>
      <c r="F48" s="13"/>
      <c r="G48" s="13"/>
      <c r="H48" s="13"/>
      <c r="I48" s="13"/>
      <c r="J48" s="13"/>
      <c r="K48" s="13"/>
      <c r="L48" s="13"/>
      <c r="M48" s="13"/>
      <c r="N48" s="13"/>
      <c r="O48" s="13"/>
    </row>
    <row r="49" ht="36" customHeight="1" spans="3:15">
      <c r="C49" s="13"/>
      <c r="D49" s="13"/>
      <c r="E49" s="13"/>
      <c r="F49" s="13"/>
      <c r="G49" s="13"/>
      <c r="H49" s="13"/>
      <c r="I49" s="13"/>
      <c r="J49" s="13"/>
      <c r="K49" s="13"/>
      <c r="L49" s="13"/>
      <c r="M49" s="13"/>
      <c r="N49" s="13"/>
      <c r="O49" s="13"/>
    </row>
    <row r="50" spans="3:15">
      <c r="C50" s="13"/>
      <c r="D50" s="13" t="s">
        <v>136</v>
      </c>
      <c r="E50" s="13">
        <v>1</v>
      </c>
      <c r="F50" s="13">
        <v>4825.98</v>
      </c>
      <c r="G50" s="13">
        <v>19303.921</v>
      </c>
      <c r="H50" s="13"/>
      <c r="I50" s="13"/>
      <c r="J50" s="13"/>
      <c r="K50" s="13"/>
      <c r="L50" s="13"/>
      <c r="M50" s="13"/>
      <c r="N50" s="13"/>
      <c r="O50" s="13" t="s">
        <v>137</v>
      </c>
    </row>
    <row r="51" spans="3:15">
      <c r="C51" s="13"/>
      <c r="D51" s="13"/>
      <c r="E51" s="13"/>
      <c r="F51" s="13"/>
      <c r="G51" s="13"/>
      <c r="H51" s="13"/>
      <c r="I51" s="13"/>
      <c r="J51" s="13"/>
      <c r="K51" s="13"/>
      <c r="L51" s="13"/>
      <c r="M51" s="13"/>
      <c r="N51" s="13"/>
      <c r="O51" s="13"/>
    </row>
    <row r="52" spans="3:15">
      <c r="C52" s="13"/>
      <c r="D52" s="13"/>
      <c r="E52" s="13"/>
      <c r="F52" s="13"/>
      <c r="G52" s="13"/>
      <c r="H52" s="13"/>
      <c r="I52" s="13"/>
      <c r="J52" s="13"/>
      <c r="K52" s="13"/>
      <c r="L52" s="13"/>
      <c r="M52" s="13"/>
      <c r="N52" s="13"/>
      <c r="O52" s="13"/>
    </row>
  </sheetData>
  <mergeCells count="14">
    <mergeCell ref="A1:O1"/>
    <mergeCell ref="F2:I2"/>
    <mergeCell ref="C14:O14"/>
    <mergeCell ref="A2:A3"/>
    <mergeCell ref="B2:B3"/>
    <mergeCell ref="C2:C3"/>
    <mergeCell ref="D2:D3"/>
    <mergeCell ref="E2:E3"/>
    <mergeCell ref="J2:J3"/>
    <mergeCell ref="K2:K3"/>
    <mergeCell ref="L2:L3"/>
    <mergeCell ref="M2:M3"/>
    <mergeCell ref="N2:N3"/>
    <mergeCell ref="O2:O3"/>
  </mergeCells>
  <pageMargins left="0.313888888888889" right="0.275" top="1" bottom="1" header="0.511805555555556" footer="0.511805555555556"/>
  <pageSetup paperSize="9"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8"/>
  <sheetViews>
    <sheetView topLeftCell="B44" workbookViewId="0">
      <selection activeCell="F48" sqref="F48"/>
    </sheetView>
  </sheetViews>
  <sheetFormatPr defaultColWidth="9" defaultRowHeight="14.25"/>
  <cols>
    <col min="2" max="2" width="46.25" customWidth="1"/>
    <col min="3" max="3" width="12.875" customWidth="1"/>
    <col min="7" max="7" width="13.375" customWidth="1"/>
    <col min="8" max="8" width="10.5" customWidth="1"/>
    <col min="10" max="10" width="12.625"/>
  </cols>
  <sheetData>
    <row r="1" ht="27" spans="1:9">
      <c r="A1" s="165" t="s">
        <v>138</v>
      </c>
      <c r="B1" s="166"/>
      <c r="C1" s="166"/>
      <c r="D1" s="165"/>
      <c r="E1" s="165"/>
      <c r="F1" s="165"/>
      <c r="G1" s="165"/>
      <c r="H1" s="165"/>
      <c r="I1" s="165"/>
    </row>
    <row r="2" ht="52.5" customHeight="1" spans="1:9">
      <c r="A2" s="208" t="s">
        <v>1</v>
      </c>
      <c r="B2" s="209" t="s">
        <v>2</v>
      </c>
      <c r="C2" s="209" t="s">
        <v>3</v>
      </c>
      <c r="D2" s="208" t="s">
        <v>4</v>
      </c>
      <c r="E2" s="167" t="s">
        <v>58</v>
      </c>
      <c r="F2" s="167" t="s">
        <v>59</v>
      </c>
      <c r="G2" s="139" t="s">
        <v>60</v>
      </c>
      <c r="H2" s="139" t="s">
        <v>61</v>
      </c>
      <c r="I2" s="139" t="s">
        <v>12</v>
      </c>
    </row>
    <row r="3" spans="1:9">
      <c r="A3" s="210"/>
      <c r="B3" s="211"/>
      <c r="C3" s="211"/>
      <c r="D3" s="210"/>
      <c r="E3" s="167"/>
      <c r="F3" s="167"/>
      <c r="G3" s="139"/>
      <c r="H3" s="139"/>
      <c r="I3" s="139"/>
    </row>
    <row r="4" spans="1:9">
      <c r="A4" s="210"/>
      <c r="B4" s="211" t="s">
        <v>139</v>
      </c>
      <c r="C4" s="211"/>
      <c r="D4" s="210"/>
      <c r="E4" s="167"/>
      <c r="F4" s="167"/>
      <c r="G4" s="139"/>
      <c r="H4" s="139"/>
      <c r="I4" s="139"/>
    </row>
    <row r="5" s="181" customFormat="1" ht="96" spans="1:9">
      <c r="A5" s="132">
        <v>1</v>
      </c>
      <c r="B5" s="212" t="s">
        <v>140</v>
      </c>
      <c r="C5" s="118" t="s">
        <v>141</v>
      </c>
      <c r="D5" s="132">
        <v>1</v>
      </c>
      <c r="E5" s="118"/>
      <c r="F5" s="115"/>
      <c r="G5" s="213"/>
      <c r="H5" s="115" t="s">
        <v>90</v>
      </c>
      <c r="I5" s="118" t="s">
        <v>142</v>
      </c>
    </row>
    <row r="6" s="181" customFormat="1" spans="1:9">
      <c r="A6" s="132">
        <v>2</v>
      </c>
      <c r="B6" s="118" t="s">
        <v>143</v>
      </c>
      <c r="C6" s="118" t="s">
        <v>144</v>
      </c>
      <c r="D6" s="132">
        <v>1</v>
      </c>
      <c r="E6" s="118"/>
      <c r="F6" s="115"/>
      <c r="G6" s="132"/>
      <c r="H6" s="132"/>
      <c r="I6" s="118"/>
    </row>
    <row r="7" s="181" customFormat="1" spans="1:9">
      <c r="A7" s="132">
        <v>3</v>
      </c>
      <c r="B7" s="118" t="s">
        <v>145</v>
      </c>
      <c r="C7" s="118" t="s">
        <v>144</v>
      </c>
      <c r="D7" s="132"/>
      <c r="E7" s="118"/>
      <c r="F7" s="115"/>
      <c r="G7" s="132"/>
      <c r="H7" s="132"/>
      <c r="I7" s="118"/>
    </row>
    <row r="8" s="181" customFormat="1" spans="1:9">
      <c r="A8" s="132">
        <v>4</v>
      </c>
      <c r="B8" s="118" t="s">
        <v>146</v>
      </c>
      <c r="C8" s="118" t="s">
        <v>147</v>
      </c>
      <c r="D8" s="132">
        <v>1</v>
      </c>
      <c r="E8" s="118"/>
      <c r="F8" s="115"/>
      <c r="G8" s="132"/>
      <c r="H8" s="132"/>
      <c r="I8" s="118"/>
    </row>
    <row r="9" hidden="1" spans="1:9">
      <c r="A9" s="132">
        <v>4</v>
      </c>
      <c r="B9" s="70" t="s">
        <v>148</v>
      </c>
      <c r="C9" s="70" t="s">
        <v>149</v>
      </c>
      <c r="D9" s="139"/>
      <c r="E9" s="70" t="s">
        <v>32</v>
      </c>
      <c r="F9" s="123" t="s">
        <v>150</v>
      </c>
      <c r="G9" s="139" t="s">
        <v>151</v>
      </c>
      <c r="H9" s="139"/>
      <c r="I9" s="208" t="s">
        <v>152</v>
      </c>
    </row>
    <row r="10" hidden="1" spans="1:9">
      <c r="A10" s="132">
        <v>5</v>
      </c>
      <c r="B10" s="70" t="s">
        <v>153</v>
      </c>
      <c r="C10" s="70" t="s">
        <v>154</v>
      </c>
      <c r="D10" s="139"/>
      <c r="E10" s="70" t="s">
        <v>32</v>
      </c>
      <c r="F10" s="123" t="s">
        <v>150</v>
      </c>
      <c r="G10" s="139" t="s">
        <v>155</v>
      </c>
      <c r="H10" s="139"/>
      <c r="I10" s="220"/>
    </row>
    <row r="11" ht="7" customHeight="1" spans="1:9">
      <c r="A11" s="132">
        <v>6</v>
      </c>
      <c r="B11" s="51" t="s">
        <v>156</v>
      </c>
      <c r="C11" s="70" t="s">
        <v>157</v>
      </c>
      <c r="D11" s="13"/>
      <c r="E11" s="70" t="s">
        <v>32</v>
      </c>
      <c r="F11" s="123" t="s">
        <v>150</v>
      </c>
      <c r="G11" s="139" t="s">
        <v>155</v>
      </c>
      <c r="H11" s="13"/>
      <c r="I11" s="220"/>
    </row>
    <row r="12" ht="15" customHeight="1" spans="1:9">
      <c r="A12" s="132">
        <v>7</v>
      </c>
      <c r="B12" s="51" t="s">
        <v>158</v>
      </c>
      <c r="C12" s="70" t="s">
        <v>159</v>
      </c>
      <c r="D12" s="13"/>
      <c r="E12" s="70" t="s">
        <v>32</v>
      </c>
      <c r="F12" s="123" t="s">
        <v>150</v>
      </c>
      <c r="G12" s="139" t="s">
        <v>155</v>
      </c>
      <c r="H12" s="13"/>
      <c r="I12" s="220"/>
    </row>
    <row r="13" ht="15" customHeight="1" spans="1:9">
      <c r="A13" s="132">
        <v>8</v>
      </c>
      <c r="B13" s="51" t="s">
        <v>160</v>
      </c>
      <c r="C13" s="70" t="s">
        <v>161</v>
      </c>
      <c r="D13" s="13"/>
      <c r="E13" s="70" t="s">
        <v>32</v>
      </c>
      <c r="F13" s="123" t="s">
        <v>150</v>
      </c>
      <c r="G13" s="139" t="s">
        <v>155</v>
      </c>
      <c r="H13" s="13"/>
      <c r="I13" s="220"/>
    </row>
    <row r="14" ht="12" customHeight="1" spans="1:9">
      <c r="A14" s="132">
        <v>9</v>
      </c>
      <c r="B14" s="51" t="s">
        <v>162</v>
      </c>
      <c r="C14" s="70" t="s">
        <v>163</v>
      </c>
      <c r="D14" s="13"/>
      <c r="E14" s="70" t="s">
        <v>32</v>
      </c>
      <c r="F14" s="123" t="s">
        <v>150</v>
      </c>
      <c r="G14" s="139" t="s">
        <v>155</v>
      </c>
      <c r="H14" s="13"/>
      <c r="I14" s="220"/>
    </row>
    <row r="15" ht="36" customHeight="1" spans="1:9">
      <c r="A15" s="132">
        <v>10</v>
      </c>
      <c r="B15" s="51" t="s">
        <v>164</v>
      </c>
      <c r="C15" s="70" t="s">
        <v>165</v>
      </c>
      <c r="D15" s="13"/>
      <c r="E15" s="70" t="s">
        <v>32</v>
      </c>
      <c r="F15" s="123" t="s">
        <v>150</v>
      </c>
      <c r="G15" s="139" t="s">
        <v>155</v>
      </c>
      <c r="H15" s="13"/>
      <c r="I15" s="220"/>
    </row>
    <row r="16" s="181" customFormat="1" ht="30" customHeight="1" spans="1:9">
      <c r="A16" s="132">
        <v>11</v>
      </c>
      <c r="B16" s="214" t="s">
        <v>166</v>
      </c>
      <c r="C16" s="118" t="s">
        <v>167</v>
      </c>
      <c r="D16" s="214"/>
      <c r="E16" s="118" t="s">
        <v>168</v>
      </c>
      <c r="F16" s="115"/>
      <c r="G16" s="132" t="s">
        <v>169</v>
      </c>
      <c r="H16" s="215">
        <v>43064</v>
      </c>
      <c r="I16" s="221" t="s">
        <v>170</v>
      </c>
    </row>
    <row r="17" s="181" customFormat="1" ht="49" customHeight="1" spans="1:9">
      <c r="A17" s="216" t="s">
        <v>171</v>
      </c>
      <c r="B17" s="217"/>
      <c r="C17" s="217"/>
      <c r="D17" s="217"/>
      <c r="E17" s="217"/>
      <c r="F17" s="217"/>
      <c r="G17" s="217"/>
      <c r="H17" s="217"/>
      <c r="I17" s="222"/>
    </row>
    <row r="18" ht="29" customHeight="1" spans="1:9">
      <c r="A18" s="132">
        <v>1</v>
      </c>
      <c r="B18" s="13" t="s">
        <v>172</v>
      </c>
      <c r="C18" s="13" t="s">
        <v>173</v>
      </c>
      <c r="D18" s="13"/>
      <c r="E18" s="13"/>
      <c r="F18" s="13"/>
      <c r="G18" s="13"/>
      <c r="H18" s="13"/>
      <c r="I18" s="13"/>
    </row>
    <row r="19" ht="29" customHeight="1" spans="1:9">
      <c r="A19" s="132">
        <v>2</v>
      </c>
      <c r="B19" s="13" t="s">
        <v>174</v>
      </c>
      <c r="C19" s="13" t="s">
        <v>175</v>
      </c>
      <c r="D19" s="13"/>
      <c r="E19" s="13"/>
      <c r="F19" s="13"/>
      <c r="G19" s="13"/>
      <c r="H19" s="13"/>
      <c r="I19" s="13"/>
    </row>
    <row r="20" ht="29" customHeight="1" spans="1:9">
      <c r="A20" s="132"/>
      <c r="B20" s="13" t="s">
        <v>174</v>
      </c>
      <c r="C20" s="13" t="s">
        <v>176</v>
      </c>
      <c r="D20" s="2" t="s">
        <v>177</v>
      </c>
      <c r="E20" s="13"/>
      <c r="F20" s="13"/>
      <c r="G20" s="13"/>
      <c r="H20" s="13" t="s">
        <v>178</v>
      </c>
      <c r="I20" s="13"/>
    </row>
    <row r="21" ht="42" customHeight="1" spans="1:10">
      <c r="A21" s="132">
        <v>3</v>
      </c>
      <c r="B21" s="50" t="s">
        <v>179</v>
      </c>
      <c r="C21" s="13" t="s">
        <v>180</v>
      </c>
      <c r="D21" s="13"/>
      <c r="E21" s="13"/>
      <c r="F21" s="13"/>
      <c r="G21" s="13"/>
      <c r="H21" s="13" t="s">
        <v>181</v>
      </c>
      <c r="I21" s="13"/>
      <c r="J21">
        <v>1714978.5</v>
      </c>
    </row>
    <row r="22" ht="42" customHeight="1" spans="1:10">
      <c r="A22" s="132">
        <v>4</v>
      </c>
      <c r="B22" s="50" t="s">
        <v>182</v>
      </c>
      <c r="C22" s="13" t="s">
        <v>183</v>
      </c>
      <c r="D22" s="13"/>
      <c r="E22" s="13"/>
      <c r="F22" s="13"/>
      <c r="G22" s="13"/>
      <c r="H22" s="13" t="s">
        <v>181</v>
      </c>
      <c r="I22" s="13"/>
      <c r="J22">
        <v>848301.9</v>
      </c>
    </row>
    <row r="23" ht="42" customHeight="1" spans="1:10">
      <c r="A23" s="132">
        <v>5</v>
      </c>
      <c r="B23" s="50" t="s">
        <v>184</v>
      </c>
      <c r="C23" s="13" t="s">
        <v>185</v>
      </c>
      <c r="D23" s="13"/>
      <c r="E23" s="13"/>
      <c r="F23" s="13"/>
      <c r="G23" s="13"/>
      <c r="H23" s="13" t="s">
        <v>181</v>
      </c>
      <c r="I23" s="13"/>
      <c r="J23">
        <v>396527.02</v>
      </c>
    </row>
    <row r="24" ht="42" customHeight="1" spans="1:10">
      <c r="A24" s="132">
        <v>6</v>
      </c>
      <c r="B24" s="50" t="s">
        <v>186</v>
      </c>
      <c r="C24" s="13" t="s">
        <v>187</v>
      </c>
      <c r="D24" s="13"/>
      <c r="E24" s="13"/>
      <c r="F24" s="13"/>
      <c r="G24" s="13"/>
      <c r="H24" s="13" t="s">
        <v>181</v>
      </c>
      <c r="I24" s="13"/>
      <c r="J24">
        <v>1237322.37</v>
      </c>
    </row>
    <row r="25" ht="42" customHeight="1" spans="1:10">
      <c r="A25" s="132">
        <v>7</v>
      </c>
      <c r="B25" s="50" t="s">
        <v>188</v>
      </c>
      <c r="C25" s="13" t="s">
        <v>189</v>
      </c>
      <c r="D25" s="13"/>
      <c r="E25" s="13"/>
      <c r="F25" s="13"/>
      <c r="G25" s="13"/>
      <c r="H25" s="13" t="s">
        <v>181</v>
      </c>
      <c r="I25" s="13"/>
      <c r="J25">
        <v>520720.5</v>
      </c>
    </row>
    <row r="26" ht="42" customHeight="1" spans="1:10">
      <c r="A26" s="132">
        <v>8</v>
      </c>
      <c r="B26" s="50" t="s">
        <v>190</v>
      </c>
      <c r="C26" s="13" t="s">
        <v>191</v>
      </c>
      <c r="D26" s="13"/>
      <c r="E26" s="13"/>
      <c r="F26" s="13"/>
      <c r="G26" s="13"/>
      <c r="H26" s="13" t="s">
        <v>181</v>
      </c>
      <c r="I26" s="13"/>
      <c r="J26">
        <v>526701.18</v>
      </c>
    </row>
    <row r="27" ht="42" customHeight="1" spans="1:10">
      <c r="A27" s="132">
        <v>9</v>
      </c>
      <c r="B27" s="50" t="s">
        <v>192</v>
      </c>
      <c r="C27" s="13" t="s">
        <v>193</v>
      </c>
      <c r="D27" s="13"/>
      <c r="E27" s="13"/>
      <c r="F27" s="13"/>
      <c r="G27" s="13"/>
      <c r="H27" s="13" t="s">
        <v>181</v>
      </c>
      <c r="I27" s="13"/>
      <c r="J27">
        <v>640272.08</v>
      </c>
    </row>
    <row r="28" ht="42" customHeight="1" spans="1:10">
      <c r="A28" s="132">
        <v>10</v>
      </c>
      <c r="B28" s="50" t="s">
        <v>194</v>
      </c>
      <c r="C28" s="13" t="s">
        <v>195</v>
      </c>
      <c r="D28" s="13"/>
      <c r="E28" s="13"/>
      <c r="F28" s="13"/>
      <c r="G28" s="13"/>
      <c r="H28" s="13" t="s">
        <v>181</v>
      </c>
      <c r="I28" s="13"/>
      <c r="J28">
        <v>405413.53</v>
      </c>
    </row>
    <row r="29" ht="42" customHeight="1" spans="1:10">
      <c r="A29" s="132">
        <v>11</v>
      </c>
      <c r="B29" s="50" t="s">
        <v>196</v>
      </c>
      <c r="C29" s="13" t="s">
        <v>197</v>
      </c>
      <c r="D29" s="13"/>
      <c r="E29" s="13"/>
      <c r="F29" s="13"/>
      <c r="G29" s="13"/>
      <c r="H29" s="13" t="s">
        <v>181</v>
      </c>
      <c r="I29" s="13"/>
      <c r="J29">
        <v>501090.61</v>
      </c>
    </row>
    <row r="30" ht="42" customHeight="1" spans="1:10">
      <c r="A30" s="132">
        <v>12</v>
      </c>
      <c r="B30" s="50" t="s">
        <v>198</v>
      </c>
      <c r="C30" s="13" t="s">
        <v>199</v>
      </c>
      <c r="D30" s="13"/>
      <c r="E30" s="13"/>
      <c r="F30" s="13"/>
      <c r="G30" s="13"/>
      <c r="H30" s="13" t="s">
        <v>181</v>
      </c>
      <c r="I30" s="13"/>
      <c r="J30">
        <v>604195.43</v>
      </c>
    </row>
    <row r="31" ht="42" customHeight="1" spans="1:10">
      <c r="A31" s="132">
        <v>13</v>
      </c>
      <c r="B31" s="50" t="s">
        <v>200</v>
      </c>
      <c r="C31" s="13" t="s">
        <v>201</v>
      </c>
      <c r="D31" s="13"/>
      <c r="E31" s="13"/>
      <c r="F31" s="13"/>
      <c r="G31" s="13"/>
      <c r="H31" s="13" t="s">
        <v>181</v>
      </c>
      <c r="I31" s="13"/>
      <c r="J31">
        <v>391910.26</v>
      </c>
    </row>
    <row r="32" ht="55" customHeight="1" spans="1:10">
      <c r="A32" s="132">
        <v>14</v>
      </c>
      <c r="B32" s="50" t="s">
        <v>202</v>
      </c>
      <c r="C32" s="13" t="s">
        <v>203</v>
      </c>
      <c r="D32" s="13"/>
      <c r="E32" s="13"/>
      <c r="F32" s="13"/>
      <c r="G32" s="13"/>
      <c r="H32" s="13" t="s">
        <v>204</v>
      </c>
      <c r="I32" s="13"/>
      <c r="J32">
        <v>957941.01</v>
      </c>
    </row>
    <row r="33" ht="45" customHeight="1" spans="1:10">
      <c r="A33" s="132">
        <v>15</v>
      </c>
      <c r="B33" s="50" t="s">
        <v>205</v>
      </c>
      <c r="C33" s="13" t="s">
        <v>206</v>
      </c>
      <c r="D33" s="13"/>
      <c r="E33" s="13"/>
      <c r="F33" s="13"/>
      <c r="G33" s="13"/>
      <c r="H33" s="13" t="s">
        <v>204</v>
      </c>
      <c r="I33" s="13"/>
      <c r="J33">
        <v>4606481.89</v>
      </c>
    </row>
    <row r="34" ht="42.75" spans="1:10">
      <c r="A34" s="132">
        <v>16</v>
      </c>
      <c r="B34" s="50" t="s">
        <v>207</v>
      </c>
      <c r="C34" s="13" t="s">
        <v>208</v>
      </c>
      <c r="D34" s="13"/>
      <c r="E34" s="13"/>
      <c r="F34" s="13"/>
      <c r="G34" s="13"/>
      <c r="H34" s="13" t="s">
        <v>204</v>
      </c>
      <c r="I34" s="13"/>
      <c r="J34">
        <v>77968.2</v>
      </c>
    </row>
    <row r="35" spans="1:10">
      <c r="A35" s="132"/>
      <c r="B35" s="50" t="s">
        <v>209</v>
      </c>
      <c r="C35" s="13" t="s">
        <v>210</v>
      </c>
      <c r="D35" s="13"/>
      <c r="E35" s="13"/>
      <c r="F35" s="13"/>
      <c r="G35" s="13"/>
      <c r="H35" s="13" t="s">
        <v>211</v>
      </c>
      <c r="I35" s="13"/>
      <c r="J35">
        <v>56112.77</v>
      </c>
    </row>
    <row r="36" ht="24" customHeight="1" spans="1:9">
      <c r="A36" s="132">
        <v>17</v>
      </c>
      <c r="B36" s="50" t="s">
        <v>212</v>
      </c>
      <c r="C36" s="13"/>
      <c r="D36" s="13">
        <v>1</v>
      </c>
      <c r="E36" s="13"/>
      <c r="F36" s="13"/>
      <c r="G36" s="13"/>
      <c r="H36" s="13" t="s">
        <v>213</v>
      </c>
      <c r="I36" s="13"/>
    </row>
    <row r="37" ht="24" customHeight="1" spans="1:9">
      <c r="A37" s="132">
        <v>18</v>
      </c>
      <c r="B37" s="50" t="s">
        <v>214</v>
      </c>
      <c r="C37" s="13"/>
      <c r="D37" s="13">
        <v>1</v>
      </c>
      <c r="E37" s="13"/>
      <c r="F37" s="13"/>
      <c r="G37" s="13"/>
      <c r="H37" s="13" t="s">
        <v>213</v>
      </c>
      <c r="I37" s="13"/>
    </row>
    <row r="38" ht="24" customHeight="1" spans="1:10">
      <c r="A38" s="132"/>
      <c r="B38" s="50" t="s">
        <v>215</v>
      </c>
      <c r="C38" s="13" t="s">
        <v>216</v>
      </c>
      <c r="D38" s="13"/>
      <c r="E38" s="13"/>
      <c r="F38" s="13"/>
      <c r="G38" s="13"/>
      <c r="H38" s="13" t="s">
        <v>217</v>
      </c>
      <c r="I38" s="13"/>
      <c r="J38">
        <v>12476082.54</v>
      </c>
    </row>
    <row r="39" ht="24" customHeight="1" spans="1:10">
      <c r="A39" s="132">
        <v>19</v>
      </c>
      <c r="B39" s="13" t="s">
        <v>218</v>
      </c>
      <c r="C39" s="13" t="s">
        <v>219</v>
      </c>
      <c r="D39" s="13"/>
      <c r="E39" s="13"/>
      <c r="F39" s="13"/>
      <c r="G39" s="13"/>
      <c r="H39" s="13"/>
      <c r="I39" s="13"/>
      <c r="J39">
        <v>6170.74</v>
      </c>
    </row>
    <row r="40" ht="24" customHeight="1" spans="1:10">
      <c r="A40" s="218">
        <v>20</v>
      </c>
      <c r="B40" s="7" t="s">
        <v>220</v>
      </c>
      <c r="C40" s="7"/>
      <c r="D40" s="7"/>
      <c r="E40" s="7"/>
      <c r="F40" s="7"/>
      <c r="G40" s="7"/>
      <c r="H40" s="7"/>
      <c r="I40" s="7"/>
      <c r="J40" s="7"/>
    </row>
    <row r="41" ht="24" customHeight="1" spans="1:10">
      <c r="A41" s="219"/>
      <c r="B41" s="2" t="s">
        <v>221</v>
      </c>
      <c r="C41" s="2" t="s">
        <v>222</v>
      </c>
      <c r="D41" s="2"/>
      <c r="E41" s="2"/>
      <c r="F41" s="2"/>
      <c r="G41" s="2"/>
      <c r="H41" s="101">
        <v>43305</v>
      </c>
      <c r="I41" s="2"/>
      <c r="J41" s="2">
        <v>1001750.04</v>
      </c>
    </row>
    <row r="42" ht="24" customHeight="1" spans="1:10">
      <c r="A42" s="216">
        <v>21</v>
      </c>
      <c r="B42" s="13" t="s">
        <v>223</v>
      </c>
      <c r="C42" s="2" t="s">
        <v>224</v>
      </c>
      <c r="D42" s="13"/>
      <c r="E42" s="13"/>
      <c r="F42" s="13"/>
      <c r="G42" s="13"/>
      <c r="H42" s="101">
        <v>43305</v>
      </c>
      <c r="I42" s="13"/>
      <c r="J42" s="13">
        <v>-5576536.26</v>
      </c>
    </row>
    <row r="43" ht="24" customHeight="1" spans="1:10">
      <c r="A43" s="216">
        <v>22</v>
      </c>
      <c r="B43" s="13" t="s">
        <v>225</v>
      </c>
      <c r="C43" s="2" t="s">
        <v>226</v>
      </c>
      <c r="D43" s="13"/>
      <c r="E43" s="13"/>
      <c r="F43" s="13"/>
      <c r="G43" s="13"/>
      <c r="H43" s="101">
        <v>43305</v>
      </c>
      <c r="I43" s="13"/>
      <c r="J43" s="13">
        <v>1071703.43</v>
      </c>
    </row>
    <row r="44" ht="24" customHeight="1" spans="1:10">
      <c r="A44" s="216">
        <v>23</v>
      </c>
      <c r="B44" s="13" t="s">
        <v>227</v>
      </c>
      <c r="C44" s="2" t="s">
        <v>228</v>
      </c>
      <c r="D44" s="13"/>
      <c r="E44" s="13"/>
      <c r="F44" s="13"/>
      <c r="G44" s="13"/>
      <c r="H44" s="101">
        <v>43305</v>
      </c>
      <c r="I44" s="13"/>
      <c r="J44" s="13">
        <v>1680972.85</v>
      </c>
    </row>
    <row r="45" ht="24" customHeight="1" spans="1:10">
      <c r="A45" s="216">
        <v>24</v>
      </c>
      <c r="B45" s="13" t="s">
        <v>229</v>
      </c>
      <c r="C45" s="2" t="s">
        <v>230</v>
      </c>
      <c r="D45" s="13"/>
      <c r="E45" s="13"/>
      <c r="F45" s="13"/>
      <c r="G45" s="13"/>
      <c r="H45" s="101">
        <v>43305</v>
      </c>
      <c r="I45" s="13"/>
      <c r="J45" s="13">
        <v>337984.08</v>
      </c>
    </row>
    <row r="46" ht="27" customHeight="1" spans="2:10">
      <c r="B46" s="13" t="s">
        <v>231</v>
      </c>
      <c r="C46" s="2" t="s">
        <v>232</v>
      </c>
      <c r="D46" s="13"/>
      <c r="E46" s="13"/>
      <c r="F46" s="13"/>
      <c r="G46" s="13"/>
      <c r="H46" s="101">
        <v>43305</v>
      </c>
      <c r="I46" s="13"/>
      <c r="J46" s="13">
        <v>885566.13</v>
      </c>
    </row>
    <row r="47" ht="27" customHeight="1" spans="2:10">
      <c r="B47" s="13" t="s">
        <v>233</v>
      </c>
      <c r="C47" s="2" t="s">
        <v>234</v>
      </c>
      <c r="D47" s="13"/>
      <c r="E47" s="13"/>
      <c r="F47" s="13"/>
      <c r="G47" s="13"/>
      <c r="H47" s="101">
        <v>43305</v>
      </c>
      <c r="I47" s="13"/>
      <c r="J47" s="13">
        <v>555465.47</v>
      </c>
    </row>
    <row r="48" ht="27" customHeight="1" spans="2:10">
      <c r="B48" s="13" t="s">
        <v>235</v>
      </c>
      <c r="C48" s="2" t="s">
        <v>236</v>
      </c>
      <c r="D48" s="13"/>
      <c r="E48" s="13"/>
      <c r="F48" s="13"/>
      <c r="G48" s="13"/>
      <c r="H48" s="101">
        <v>43305</v>
      </c>
      <c r="I48" s="13"/>
      <c r="J48" s="13">
        <v>1589604.48</v>
      </c>
    </row>
    <row r="49" ht="27" customHeight="1" spans="2:10">
      <c r="B49" s="13" t="s">
        <v>237</v>
      </c>
      <c r="C49" s="2" t="s">
        <v>238</v>
      </c>
      <c r="D49" s="13"/>
      <c r="E49" s="13"/>
      <c r="F49" s="13"/>
      <c r="G49" s="13"/>
      <c r="H49" s="101">
        <v>43305</v>
      </c>
      <c r="I49" s="13"/>
      <c r="J49" s="13">
        <v>473209.56</v>
      </c>
    </row>
    <row r="50" ht="27" customHeight="1" spans="2:10">
      <c r="B50" s="13" t="s">
        <v>239</v>
      </c>
      <c r="C50" s="2" t="s">
        <v>240</v>
      </c>
      <c r="D50" s="13"/>
      <c r="E50" s="13"/>
      <c r="F50" s="13"/>
      <c r="G50" s="13"/>
      <c r="H50" s="101">
        <v>43305</v>
      </c>
      <c r="I50" s="13"/>
      <c r="J50" s="13">
        <v>929997.45</v>
      </c>
    </row>
    <row r="51" ht="27" customHeight="1" spans="2:10">
      <c r="B51" s="13" t="s">
        <v>241</v>
      </c>
      <c r="C51" s="2" t="s">
        <v>242</v>
      </c>
      <c r="D51" s="13"/>
      <c r="E51" s="13"/>
      <c r="F51" s="13"/>
      <c r="G51" s="13"/>
      <c r="H51" s="101">
        <v>43305</v>
      </c>
      <c r="I51" s="13"/>
      <c r="J51" s="13">
        <v>629305.39</v>
      </c>
    </row>
    <row r="52" ht="27" customHeight="1" spans="2:10">
      <c r="B52" s="13" t="s">
        <v>243</v>
      </c>
      <c r="C52" s="2" t="s">
        <v>244</v>
      </c>
      <c r="D52" s="13"/>
      <c r="E52" s="13"/>
      <c r="F52" s="13"/>
      <c r="G52" s="13"/>
      <c r="H52" s="101">
        <v>43305</v>
      </c>
      <c r="I52" s="13"/>
      <c r="J52" s="13">
        <v>717613.05</v>
      </c>
    </row>
    <row r="53" ht="27" customHeight="1" spans="2:10">
      <c r="B53" s="13" t="s">
        <v>245</v>
      </c>
      <c r="C53" s="2" t="s">
        <v>246</v>
      </c>
      <c r="D53" s="13"/>
      <c r="E53" s="13"/>
      <c r="F53" s="13"/>
      <c r="G53" s="13"/>
      <c r="H53" s="13"/>
      <c r="I53" s="13"/>
      <c r="J53" s="13" t="s">
        <v>247</v>
      </c>
    </row>
    <row r="54" ht="27" customHeight="1" spans="2:10">
      <c r="B54" s="13" t="s">
        <v>248</v>
      </c>
      <c r="C54" s="2" t="s">
        <v>249</v>
      </c>
      <c r="D54" s="13"/>
      <c r="E54" s="13"/>
      <c r="F54" s="13"/>
      <c r="G54" s="13"/>
      <c r="H54" s="14">
        <v>43369</v>
      </c>
      <c r="I54" s="13"/>
      <c r="J54" s="13">
        <v>6817949.127</v>
      </c>
    </row>
    <row r="55" ht="27" customHeight="1" spans="2:10">
      <c r="B55" s="13"/>
      <c r="C55" s="13"/>
      <c r="D55" s="13"/>
      <c r="E55" s="13"/>
      <c r="F55" s="13"/>
      <c r="G55" s="13"/>
      <c r="H55" s="13"/>
      <c r="I55" s="13"/>
      <c r="J55" s="13"/>
    </row>
    <row r="56" ht="27" customHeight="1" spans="2:10">
      <c r="B56" s="13"/>
      <c r="C56" s="13"/>
      <c r="D56" s="13"/>
      <c r="E56" s="13"/>
      <c r="F56" s="13"/>
      <c r="G56" s="13"/>
      <c r="H56" s="13"/>
      <c r="I56" s="13"/>
      <c r="J56" s="13"/>
    </row>
    <row r="57" ht="27" customHeight="1" spans="2:10">
      <c r="B57" s="13"/>
      <c r="C57" s="13"/>
      <c r="D57" s="13"/>
      <c r="E57" s="13"/>
      <c r="F57" s="13"/>
      <c r="G57" s="13"/>
      <c r="H57" s="13"/>
      <c r="I57" s="13"/>
      <c r="J57" s="13"/>
    </row>
    <row r="58" ht="27" customHeight="1" spans="2:10">
      <c r="B58" s="13"/>
      <c r="C58" s="13"/>
      <c r="D58" s="13"/>
      <c r="E58" s="13"/>
      <c r="F58" s="13"/>
      <c r="G58" s="13"/>
      <c r="H58" s="13"/>
      <c r="I58" s="13"/>
      <c r="J58" s="13"/>
    </row>
  </sheetData>
  <mergeCells count="13">
    <mergeCell ref="A1:I1"/>
    <mergeCell ref="A17:I17"/>
    <mergeCell ref="B40:J40"/>
    <mergeCell ref="A2:A3"/>
    <mergeCell ref="B2:B3"/>
    <mergeCell ref="C2:C3"/>
    <mergeCell ref="D2:D3"/>
    <mergeCell ref="E2:E3"/>
    <mergeCell ref="F2:F3"/>
    <mergeCell ref="G2:G3"/>
    <mergeCell ref="H2:H3"/>
    <mergeCell ref="I2:I3"/>
    <mergeCell ref="I9:I15"/>
  </mergeCells>
  <pageMargins left="0.75" right="0.75" top="0.511805555555556" bottom="0.393055555555556" header="0.511805555555556" footer="0.511805555555556"/>
  <pageSetup paperSize="9"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8"/>
  <sheetViews>
    <sheetView workbookViewId="0">
      <pane ySplit="2" topLeftCell="A111" activePane="bottomLeft" state="frozen"/>
      <selection/>
      <selection pane="bottomLeft" activeCell="B115" sqref="B115"/>
    </sheetView>
  </sheetViews>
  <sheetFormatPr defaultColWidth="9" defaultRowHeight="14.25"/>
  <cols>
    <col min="1" max="1" width="5.375" style="2" customWidth="1"/>
    <col min="2" max="2" width="28.375" style="52" customWidth="1"/>
    <col min="3" max="3" width="12.375" style="52" customWidth="1"/>
    <col min="4" max="4" width="8.875" style="52" customWidth="1"/>
    <col min="5" max="5" width="16.25" style="52" customWidth="1"/>
    <col min="6" max="6" width="21.125" style="52" customWidth="1"/>
    <col min="7" max="7" width="8.75" style="52" customWidth="1"/>
    <col min="8" max="8" width="8.125" style="52" customWidth="1"/>
    <col min="9" max="9" width="12" style="52" customWidth="1"/>
    <col min="10" max="10" width="8.875" customWidth="1"/>
  </cols>
  <sheetData>
    <row r="1" ht="22.5" spans="1:10">
      <c r="A1" s="182" t="s">
        <v>250</v>
      </c>
      <c r="B1" s="183"/>
      <c r="C1" s="183"/>
      <c r="D1" s="183"/>
      <c r="E1" s="183"/>
      <c r="F1" s="183"/>
      <c r="G1" s="183"/>
      <c r="H1" s="183"/>
      <c r="I1" s="183"/>
      <c r="J1" s="183"/>
    </row>
    <row r="2" ht="21" customHeight="1" spans="1:10">
      <c r="A2" s="2" t="s">
        <v>1</v>
      </c>
      <c r="B2" s="184" t="s">
        <v>2</v>
      </c>
      <c r="C2" s="49" t="s">
        <v>3</v>
      </c>
      <c r="D2" s="3" t="s">
        <v>4</v>
      </c>
      <c r="E2" s="49" t="s">
        <v>5</v>
      </c>
      <c r="F2" s="49" t="s">
        <v>6</v>
      </c>
      <c r="G2" s="49" t="s">
        <v>251</v>
      </c>
      <c r="H2" s="49" t="s">
        <v>7</v>
      </c>
      <c r="I2" s="49" t="s">
        <v>252</v>
      </c>
      <c r="J2" s="13" t="s">
        <v>12</v>
      </c>
    </row>
    <row r="3" s="35" customFormat="1" ht="45.95" customHeight="1" spans="1:10">
      <c r="A3" s="5">
        <v>1</v>
      </c>
      <c r="B3" s="185" t="s">
        <v>253</v>
      </c>
      <c r="C3" s="186" t="s">
        <v>254</v>
      </c>
      <c r="D3" s="93" t="s">
        <v>255</v>
      </c>
      <c r="E3" s="186" t="s">
        <v>256</v>
      </c>
      <c r="F3" s="186" t="s">
        <v>257</v>
      </c>
      <c r="G3" s="186"/>
      <c r="H3" s="186"/>
      <c r="I3" s="186"/>
      <c r="J3" s="197" t="s">
        <v>258</v>
      </c>
    </row>
    <row r="4" s="35" customFormat="1" ht="42.75" spans="1:10">
      <c r="A4" s="6">
        <v>2</v>
      </c>
      <c r="B4" s="187" t="s">
        <v>259</v>
      </c>
      <c r="C4" s="50" t="s">
        <v>260</v>
      </c>
      <c r="D4" s="33">
        <v>2</v>
      </c>
      <c r="E4" s="50" t="s">
        <v>256</v>
      </c>
      <c r="F4" s="50" t="s">
        <v>257</v>
      </c>
      <c r="G4" s="50"/>
      <c r="H4" s="50"/>
      <c r="I4" s="50"/>
      <c r="J4" s="51"/>
    </row>
    <row r="5" s="35" customFormat="1" ht="42.75" spans="1:10">
      <c r="A5" s="6">
        <v>3</v>
      </c>
      <c r="B5" s="187" t="s">
        <v>261</v>
      </c>
      <c r="C5" s="50" t="s">
        <v>262</v>
      </c>
      <c r="D5" s="33">
        <v>1</v>
      </c>
      <c r="E5" s="50"/>
      <c r="F5" s="50"/>
      <c r="G5" s="50"/>
      <c r="H5" s="50"/>
      <c r="I5" s="50"/>
      <c r="J5" s="51"/>
    </row>
    <row r="6" s="35" customFormat="1" ht="48.95" customHeight="1" spans="1:10">
      <c r="A6" s="5">
        <v>4</v>
      </c>
      <c r="B6" s="188" t="s">
        <v>263</v>
      </c>
      <c r="C6" s="189"/>
      <c r="D6" s="78">
        <v>1</v>
      </c>
      <c r="E6" s="189" t="s">
        <v>256</v>
      </c>
      <c r="F6" s="189" t="s">
        <v>257</v>
      </c>
      <c r="G6" s="189"/>
      <c r="H6" s="189"/>
      <c r="I6" s="189"/>
      <c r="J6" s="82"/>
    </row>
    <row r="7" s="35" customFormat="1" ht="33" customHeight="1" spans="1:10">
      <c r="A7" s="6">
        <v>5</v>
      </c>
      <c r="B7" s="187" t="s">
        <v>264</v>
      </c>
      <c r="C7" s="50" t="s">
        <v>265</v>
      </c>
      <c r="D7" s="33">
        <v>1</v>
      </c>
      <c r="E7" s="50" t="s">
        <v>256</v>
      </c>
      <c r="F7" s="50" t="s">
        <v>257</v>
      </c>
      <c r="G7" s="50"/>
      <c r="H7" s="50"/>
      <c r="I7" s="50"/>
      <c r="J7" s="51"/>
    </row>
    <row r="8" s="35" customFormat="1" ht="57" spans="1:10">
      <c r="A8" s="6">
        <v>6</v>
      </c>
      <c r="B8" s="190" t="s">
        <v>266</v>
      </c>
      <c r="C8" s="191"/>
      <c r="D8" s="192">
        <v>1</v>
      </c>
      <c r="E8" s="191" t="s">
        <v>256</v>
      </c>
      <c r="F8" s="191" t="s">
        <v>257</v>
      </c>
      <c r="G8" s="191"/>
      <c r="H8" s="191"/>
      <c r="I8" s="191"/>
      <c r="J8" s="198"/>
    </row>
    <row r="9" s="35" customFormat="1" ht="28.5" spans="1:10">
      <c r="A9" s="5">
        <v>7</v>
      </c>
      <c r="B9" s="187" t="s">
        <v>267</v>
      </c>
      <c r="C9" s="50" t="s">
        <v>268</v>
      </c>
      <c r="D9" s="78">
        <v>1</v>
      </c>
      <c r="E9" s="50" t="s">
        <v>256</v>
      </c>
      <c r="F9" s="50" t="s">
        <v>257</v>
      </c>
      <c r="G9" s="50"/>
      <c r="H9" s="50"/>
      <c r="I9" s="50"/>
      <c r="J9" s="51"/>
    </row>
    <row r="10" s="35" customFormat="1" ht="42.75" spans="1:10">
      <c r="A10" s="6">
        <v>8</v>
      </c>
      <c r="B10" s="187" t="s">
        <v>269</v>
      </c>
      <c r="C10" s="50"/>
      <c r="D10" s="33">
        <v>1</v>
      </c>
      <c r="E10" s="50" t="s">
        <v>256</v>
      </c>
      <c r="F10" s="50" t="s">
        <v>257</v>
      </c>
      <c r="G10" s="50"/>
      <c r="H10" s="50"/>
      <c r="I10" s="50"/>
      <c r="J10" s="51"/>
    </row>
    <row r="11" s="35" customFormat="1" ht="28.5" spans="1:10">
      <c r="A11" s="6">
        <v>9</v>
      </c>
      <c r="B11" s="187" t="s">
        <v>270</v>
      </c>
      <c r="C11" s="50"/>
      <c r="D11" s="192">
        <v>1</v>
      </c>
      <c r="E11" s="50" t="s">
        <v>256</v>
      </c>
      <c r="F11" s="50" t="s">
        <v>257</v>
      </c>
      <c r="G11" s="50"/>
      <c r="H11" s="50"/>
      <c r="I11" s="50"/>
      <c r="J11" s="51"/>
    </row>
    <row r="12" s="35" customFormat="1" ht="42.75" spans="1:10">
      <c r="A12" s="5">
        <v>10</v>
      </c>
      <c r="B12" s="187" t="s">
        <v>271</v>
      </c>
      <c r="C12" s="50" t="s">
        <v>272</v>
      </c>
      <c r="D12" s="78">
        <v>1</v>
      </c>
      <c r="E12" s="50" t="s">
        <v>256</v>
      </c>
      <c r="F12" s="50" t="s">
        <v>257</v>
      </c>
      <c r="G12" s="50"/>
      <c r="H12" s="50"/>
      <c r="I12" s="50"/>
      <c r="J12" s="51"/>
    </row>
    <row r="13" s="35" customFormat="1" ht="42.75" spans="1:10">
      <c r="A13" s="6">
        <v>11</v>
      </c>
      <c r="B13" s="187" t="s">
        <v>273</v>
      </c>
      <c r="C13" s="50"/>
      <c r="D13" s="33">
        <v>1</v>
      </c>
      <c r="E13" s="50" t="s">
        <v>256</v>
      </c>
      <c r="F13" s="50" t="s">
        <v>257</v>
      </c>
      <c r="G13" s="50"/>
      <c r="H13" s="50"/>
      <c r="I13" s="50"/>
      <c r="J13" s="51"/>
    </row>
    <row r="14" s="35" customFormat="1" ht="42.75" spans="1:10">
      <c r="A14" s="6">
        <v>12</v>
      </c>
      <c r="B14" s="187" t="s">
        <v>274</v>
      </c>
      <c r="C14" s="50"/>
      <c r="D14" s="192">
        <v>1</v>
      </c>
      <c r="E14" s="50" t="s">
        <v>256</v>
      </c>
      <c r="F14" s="50" t="s">
        <v>257</v>
      </c>
      <c r="G14" s="50"/>
      <c r="H14" s="50"/>
      <c r="I14" s="50"/>
      <c r="J14" s="51"/>
    </row>
    <row r="15" s="35" customFormat="1" ht="28.5" spans="1:10">
      <c r="A15" s="5">
        <v>13</v>
      </c>
      <c r="B15" s="187" t="s">
        <v>275</v>
      </c>
      <c r="C15" s="50" t="s">
        <v>276</v>
      </c>
      <c r="D15" s="78">
        <v>1</v>
      </c>
      <c r="E15" s="50" t="s">
        <v>256</v>
      </c>
      <c r="F15" s="50" t="s">
        <v>257</v>
      </c>
      <c r="G15" s="50"/>
      <c r="H15" s="50"/>
      <c r="I15" s="50"/>
      <c r="J15" s="51"/>
    </row>
    <row r="16" s="35" customFormat="1" ht="42.75" spans="1:10">
      <c r="A16" s="6">
        <v>14</v>
      </c>
      <c r="B16" s="187" t="s">
        <v>277</v>
      </c>
      <c r="C16" s="50" t="s">
        <v>278</v>
      </c>
      <c r="D16" s="33">
        <v>1</v>
      </c>
      <c r="E16" s="50" t="s">
        <v>256</v>
      </c>
      <c r="F16" s="50" t="s">
        <v>257</v>
      </c>
      <c r="G16" s="50"/>
      <c r="H16" s="50"/>
      <c r="I16" s="50" t="s">
        <v>279</v>
      </c>
      <c r="J16" s="51"/>
    </row>
    <row r="17" s="35" customFormat="1" ht="42.75" spans="1:10">
      <c r="A17" s="6">
        <v>15</v>
      </c>
      <c r="B17" s="187" t="s">
        <v>280</v>
      </c>
      <c r="C17" s="50" t="s">
        <v>281</v>
      </c>
      <c r="D17" s="192">
        <v>1</v>
      </c>
      <c r="E17" s="50" t="s">
        <v>256</v>
      </c>
      <c r="F17" s="50" t="s">
        <v>257</v>
      </c>
      <c r="G17" s="50"/>
      <c r="H17" s="50"/>
      <c r="I17" s="50" t="s">
        <v>279</v>
      </c>
      <c r="J17" s="51"/>
    </row>
    <row r="18" s="35" customFormat="1" ht="28.5" spans="1:10">
      <c r="A18" s="5">
        <v>16</v>
      </c>
      <c r="B18" s="187" t="s">
        <v>282</v>
      </c>
      <c r="C18" s="50"/>
      <c r="D18" s="33">
        <v>1</v>
      </c>
      <c r="E18" s="50" t="s">
        <v>283</v>
      </c>
      <c r="F18" s="50" t="s">
        <v>284</v>
      </c>
      <c r="G18" s="50" t="s">
        <v>285</v>
      </c>
      <c r="H18" s="50" t="s">
        <v>286</v>
      </c>
      <c r="I18" s="50" t="s">
        <v>287</v>
      </c>
      <c r="J18" s="51"/>
    </row>
    <row r="19" s="35" customFormat="1" ht="28.5" spans="1:10">
      <c r="A19" s="6">
        <v>17</v>
      </c>
      <c r="B19" s="187" t="s">
        <v>288</v>
      </c>
      <c r="C19" s="50"/>
      <c r="D19" s="33">
        <v>1</v>
      </c>
      <c r="E19" s="50" t="s">
        <v>283</v>
      </c>
      <c r="F19" s="50" t="s">
        <v>284</v>
      </c>
      <c r="G19" s="50" t="s">
        <v>285</v>
      </c>
      <c r="H19" s="50" t="s">
        <v>286</v>
      </c>
      <c r="I19" s="50" t="s">
        <v>287</v>
      </c>
      <c r="J19" s="51"/>
    </row>
    <row r="20" s="35" customFormat="1" spans="1:10">
      <c r="A20" s="6">
        <v>18</v>
      </c>
      <c r="B20" s="188" t="s">
        <v>289</v>
      </c>
      <c r="C20" s="189"/>
      <c r="D20" s="78">
        <v>1</v>
      </c>
      <c r="E20" s="189" t="s">
        <v>283</v>
      </c>
      <c r="F20" s="189" t="s">
        <v>284</v>
      </c>
      <c r="G20" s="189" t="s">
        <v>285</v>
      </c>
      <c r="H20" s="189" t="s">
        <v>286</v>
      </c>
      <c r="I20" s="189" t="s">
        <v>287</v>
      </c>
      <c r="J20" s="82" t="s">
        <v>290</v>
      </c>
    </row>
    <row r="21" s="35" customFormat="1" ht="28.5" spans="1:10">
      <c r="A21" s="5">
        <v>19</v>
      </c>
      <c r="B21" s="187" t="s">
        <v>291</v>
      </c>
      <c r="C21" s="50"/>
      <c r="D21" s="33">
        <v>1</v>
      </c>
      <c r="E21" s="50" t="s">
        <v>256</v>
      </c>
      <c r="F21" s="50" t="s">
        <v>257</v>
      </c>
      <c r="G21" s="50"/>
      <c r="H21" s="50"/>
      <c r="I21" s="50"/>
      <c r="J21" s="199"/>
    </row>
    <row r="22" s="35" customFormat="1" ht="28.5" spans="1:10">
      <c r="A22" s="6">
        <v>20</v>
      </c>
      <c r="B22" s="187" t="s">
        <v>292</v>
      </c>
      <c r="C22" s="50" t="s">
        <v>293</v>
      </c>
      <c r="D22" s="192">
        <v>1</v>
      </c>
      <c r="E22" s="50" t="s">
        <v>256</v>
      </c>
      <c r="F22" s="50" t="s">
        <v>257</v>
      </c>
      <c r="G22" s="50"/>
      <c r="H22" s="50"/>
      <c r="I22" s="50"/>
      <c r="J22" s="51"/>
    </row>
    <row r="23" s="35" customFormat="1" ht="28.5" spans="1:10">
      <c r="A23" s="6">
        <v>21</v>
      </c>
      <c r="B23" s="187" t="s">
        <v>294</v>
      </c>
      <c r="C23" s="50" t="s">
        <v>295</v>
      </c>
      <c r="D23" s="33"/>
      <c r="E23" s="50" t="s">
        <v>256</v>
      </c>
      <c r="F23" s="50" t="s">
        <v>257</v>
      </c>
      <c r="G23" s="50"/>
      <c r="H23" s="50"/>
      <c r="I23" s="50"/>
      <c r="J23" s="78" t="s">
        <v>296</v>
      </c>
    </row>
    <row r="24" s="35" customFormat="1" ht="42.75" spans="1:10">
      <c r="A24" s="5">
        <v>22</v>
      </c>
      <c r="B24" s="187" t="s">
        <v>297</v>
      </c>
      <c r="C24" s="50"/>
      <c r="D24" s="33">
        <v>1</v>
      </c>
      <c r="E24" s="50" t="s">
        <v>298</v>
      </c>
      <c r="F24" s="50" t="s">
        <v>284</v>
      </c>
      <c r="G24" s="50" t="s">
        <v>285</v>
      </c>
      <c r="H24" s="50" t="s">
        <v>286</v>
      </c>
      <c r="I24" s="50" t="s">
        <v>299</v>
      </c>
      <c r="J24" s="192"/>
    </row>
    <row r="25" s="35" customFormat="1" ht="28.5" spans="1:10">
      <c r="A25" s="6">
        <v>23</v>
      </c>
      <c r="B25" s="187" t="s">
        <v>300</v>
      </c>
      <c r="C25" s="50" t="s">
        <v>301</v>
      </c>
      <c r="D25" s="33">
        <v>1</v>
      </c>
      <c r="E25" s="50" t="s">
        <v>256</v>
      </c>
      <c r="F25" s="50" t="s">
        <v>257</v>
      </c>
      <c r="G25" s="50"/>
      <c r="H25" s="50"/>
      <c r="I25" s="50"/>
      <c r="J25" s="78" t="s">
        <v>302</v>
      </c>
    </row>
    <row r="26" s="35" customFormat="1" ht="28.5" spans="1:10">
      <c r="A26" s="6">
        <v>24</v>
      </c>
      <c r="B26" s="187" t="s">
        <v>300</v>
      </c>
      <c r="C26" s="50" t="s">
        <v>303</v>
      </c>
      <c r="D26" s="192">
        <v>1</v>
      </c>
      <c r="E26" s="50" t="s">
        <v>256</v>
      </c>
      <c r="F26" s="50" t="s">
        <v>257</v>
      </c>
      <c r="G26" s="50"/>
      <c r="H26" s="50"/>
      <c r="I26" s="50"/>
      <c r="J26" s="200"/>
    </row>
    <row r="27" s="35" customFormat="1" ht="42.75" spans="1:10">
      <c r="A27" s="5">
        <v>25</v>
      </c>
      <c r="B27" s="187" t="s">
        <v>304</v>
      </c>
      <c r="C27" s="50" t="s">
        <v>305</v>
      </c>
      <c r="D27" s="33">
        <v>1</v>
      </c>
      <c r="E27" s="50" t="s">
        <v>256</v>
      </c>
      <c r="F27" s="50" t="s">
        <v>257</v>
      </c>
      <c r="G27" s="50"/>
      <c r="H27" s="50"/>
      <c r="I27" s="50"/>
      <c r="J27" s="200"/>
    </row>
    <row r="28" s="35" customFormat="1" ht="42.75" spans="1:10">
      <c r="A28" s="6">
        <v>26</v>
      </c>
      <c r="B28" s="187" t="s">
        <v>306</v>
      </c>
      <c r="C28" s="50" t="s">
        <v>307</v>
      </c>
      <c r="D28" s="192">
        <v>1</v>
      </c>
      <c r="E28" s="50" t="s">
        <v>256</v>
      </c>
      <c r="F28" s="50" t="s">
        <v>257</v>
      </c>
      <c r="G28" s="50"/>
      <c r="H28" s="50"/>
      <c r="I28" s="50"/>
      <c r="J28" s="192"/>
    </row>
    <row r="29" s="35" customFormat="1" ht="42.75" spans="1:10">
      <c r="A29" s="6">
        <v>27</v>
      </c>
      <c r="B29" s="187" t="s">
        <v>308</v>
      </c>
      <c r="C29" s="50"/>
      <c r="D29" s="33"/>
      <c r="E29" s="50" t="s">
        <v>256</v>
      </c>
      <c r="F29" s="50" t="s">
        <v>257</v>
      </c>
      <c r="G29" s="50"/>
      <c r="H29" s="50"/>
      <c r="I29" s="50"/>
      <c r="J29" s="78" t="s">
        <v>309</v>
      </c>
    </row>
    <row r="30" s="35" customFormat="1" ht="28.5" spans="1:10">
      <c r="A30" s="5">
        <v>28</v>
      </c>
      <c r="B30" s="187" t="s">
        <v>310</v>
      </c>
      <c r="C30" s="50" t="s">
        <v>311</v>
      </c>
      <c r="D30" s="33"/>
      <c r="E30" s="50" t="s">
        <v>256</v>
      </c>
      <c r="F30" s="50" t="s">
        <v>257</v>
      </c>
      <c r="G30" s="50"/>
      <c r="H30" s="50"/>
      <c r="I30" s="50"/>
      <c r="J30" s="200"/>
    </row>
    <row r="31" s="35" customFormat="1" ht="42.75" spans="1:10">
      <c r="A31" s="6">
        <v>29</v>
      </c>
      <c r="B31" s="187" t="s">
        <v>312</v>
      </c>
      <c r="C31" s="50" t="s">
        <v>313</v>
      </c>
      <c r="D31" s="33"/>
      <c r="E31" s="50" t="s">
        <v>256</v>
      </c>
      <c r="F31" s="50" t="s">
        <v>257</v>
      </c>
      <c r="G31" s="50"/>
      <c r="H31" s="50"/>
      <c r="I31" s="50" t="s">
        <v>314</v>
      </c>
      <c r="J31" s="192"/>
    </row>
    <row r="32" s="35" customFormat="1" ht="27" spans="1:10">
      <c r="A32" s="193" t="s">
        <v>315</v>
      </c>
      <c r="B32" s="194"/>
      <c r="C32" s="193"/>
      <c r="D32" s="193"/>
      <c r="E32" s="193"/>
      <c r="F32" s="193"/>
      <c r="G32" s="193"/>
      <c r="H32" s="193"/>
      <c r="I32" s="193"/>
      <c r="J32" s="193"/>
    </row>
    <row r="33" customFormat="1" ht="30" customHeight="1" spans="1:10">
      <c r="A33" s="2" t="s">
        <v>1</v>
      </c>
      <c r="B33" s="184" t="s">
        <v>2</v>
      </c>
      <c r="C33" s="49" t="s">
        <v>3</v>
      </c>
      <c r="D33" s="3" t="s">
        <v>4</v>
      </c>
      <c r="E33" s="49" t="s">
        <v>5</v>
      </c>
      <c r="F33" s="49" t="s">
        <v>6</v>
      </c>
      <c r="G33" s="49" t="s">
        <v>251</v>
      </c>
      <c r="H33" s="49" t="s">
        <v>7</v>
      </c>
      <c r="I33" s="49" t="s">
        <v>252</v>
      </c>
      <c r="J33" s="13" t="s">
        <v>12</v>
      </c>
    </row>
    <row r="34" s="36" customFormat="1" ht="30" customHeight="1" spans="1:10">
      <c r="A34" s="6">
        <v>1</v>
      </c>
      <c r="B34" s="190" t="s">
        <v>316</v>
      </c>
      <c r="C34" s="191"/>
      <c r="D34" s="192">
        <v>1</v>
      </c>
      <c r="E34" s="191" t="s">
        <v>298</v>
      </c>
      <c r="F34" s="191" t="s">
        <v>284</v>
      </c>
      <c r="G34" s="191" t="s">
        <v>150</v>
      </c>
      <c r="H34" s="191" t="s">
        <v>286</v>
      </c>
      <c r="I34" s="191" t="s">
        <v>317</v>
      </c>
      <c r="J34" s="191" t="s">
        <v>298</v>
      </c>
    </row>
    <row r="35" s="36" customFormat="1" ht="42.75" spans="1:10">
      <c r="A35" s="6">
        <v>2</v>
      </c>
      <c r="B35" s="187" t="s">
        <v>318</v>
      </c>
      <c r="C35" s="50" t="s">
        <v>319</v>
      </c>
      <c r="D35" s="33">
        <v>1</v>
      </c>
      <c r="E35" s="50" t="s">
        <v>298</v>
      </c>
      <c r="F35" s="50" t="s">
        <v>284</v>
      </c>
      <c r="G35" s="50" t="s">
        <v>150</v>
      </c>
      <c r="H35" s="50" t="s">
        <v>286</v>
      </c>
      <c r="I35" s="50" t="s">
        <v>317</v>
      </c>
      <c r="J35" s="50" t="s">
        <v>283</v>
      </c>
    </row>
    <row r="36" s="36" customFormat="1" ht="42.75" spans="1:10">
      <c r="A36" s="6">
        <v>3</v>
      </c>
      <c r="B36" s="187" t="s">
        <v>320</v>
      </c>
      <c r="C36" s="50" t="s">
        <v>321</v>
      </c>
      <c r="D36" s="33">
        <v>3</v>
      </c>
      <c r="E36" s="50" t="s">
        <v>298</v>
      </c>
      <c r="F36" s="50" t="s">
        <v>284</v>
      </c>
      <c r="G36" s="50" t="s">
        <v>150</v>
      </c>
      <c r="H36" s="50" t="s">
        <v>286</v>
      </c>
      <c r="I36" s="50" t="s">
        <v>322</v>
      </c>
      <c r="J36" s="78" t="s">
        <v>302</v>
      </c>
    </row>
    <row r="37" s="36" customFormat="1" spans="1:10">
      <c r="A37" s="6">
        <v>4</v>
      </c>
      <c r="B37" s="187" t="s">
        <v>323</v>
      </c>
      <c r="C37" s="50" t="s">
        <v>324</v>
      </c>
      <c r="D37" s="33">
        <v>1</v>
      </c>
      <c r="E37" s="50" t="s">
        <v>298</v>
      </c>
      <c r="F37" s="50" t="s">
        <v>284</v>
      </c>
      <c r="G37" s="50"/>
      <c r="H37" s="50"/>
      <c r="I37" s="50" t="s">
        <v>325</v>
      </c>
      <c r="J37" s="200"/>
    </row>
    <row r="38" s="36" customFormat="1" ht="57" spans="1:10">
      <c r="A38" s="6">
        <v>5</v>
      </c>
      <c r="B38" s="187" t="s">
        <v>326</v>
      </c>
      <c r="C38" s="50" t="s">
        <v>327</v>
      </c>
      <c r="D38" s="33">
        <v>1</v>
      </c>
      <c r="E38" s="50" t="s">
        <v>298</v>
      </c>
      <c r="F38" s="50" t="s">
        <v>284</v>
      </c>
      <c r="G38" s="50"/>
      <c r="H38" s="50"/>
      <c r="I38" s="50" t="s">
        <v>328</v>
      </c>
      <c r="J38" s="192"/>
    </row>
    <row r="39" ht="28.5" spans="1:10">
      <c r="A39" s="5">
        <v>67</v>
      </c>
      <c r="B39" s="184" t="s">
        <v>329</v>
      </c>
      <c r="C39" s="49" t="s">
        <v>330</v>
      </c>
      <c r="D39" s="3">
        <v>1</v>
      </c>
      <c r="E39" s="49"/>
      <c r="F39" s="49" t="s">
        <v>331</v>
      </c>
      <c r="G39" s="49"/>
      <c r="H39" s="49" t="s">
        <v>32</v>
      </c>
      <c r="I39" s="49" t="s">
        <v>332</v>
      </c>
      <c r="J39" s="13" t="s">
        <v>333</v>
      </c>
    </row>
    <row r="40" s="36" customFormat="1" ht="42.75" spans="1:10">
      <c r="A40" s="6">
        <v>6</v>
      </c>
      <c r="B40" s="187" t="s">
        <v>334</v>
      </c>
      <c r="C40" s="50" t="s">
        <v>335</v>
      </c>
      <c r="D40" s="33">
        <v>1</v>
      </c>
      <c r="E40" s="50" t="s">
        <v>336</v>
      </c>
      <c r="F40" s="50" t="s">
        <v>284</v>
      </c>
      <c r="G40" s="50" t="s">
        <v>150</v>
      </c>
      <c r="H40" s="50" t="s">
        <v>286</v>
      </c>
      <c r="I40" s="50" t="s">
        <v>337</v>
      </c>
      <c r="J40" s="51"/>
    </row>
    <row r="41" s="36" customFormat="1" ht="42.75" spans="1:10">
      <c r="A41" s="6">
        <v>7</v>
      </c>
      <c r="B41" s="187" t="s">
        <v>338</v>
      </c>
      <c r="C41" s="50" t="s">
        <v>339</v>
      </c>
      <c r="D41" s="33">
        <v>1</v>
      </c>
      <c r="E41" s="50" t="s">
        <v>336</v>
      </c>
      <c r="F41" s="50" t="s">
        <v>284</v>
      </c>
      <c r="G41" s="50" t="s">
        <v>150</v>
      </c>
      <c r="H41" s="50" t="s">
        <v>286</v>
      </c>
      <c r="I41" s="50" t="s">
        <v>340</v>
      </c>
      <c r="J41" s="51"/>
    </row>
    <row r="42" s="36" customFormat="1" ht="42.75" spans="1:10">
      <c r="A42" s="6">
        <v>8</v>
      </c>
      <c r="B42" s="187" t="s">
        <v>341</v>
      </c>
      <c r="C42" s="50"/>
      <c r="D42" s="33">
        <v>1</v>
      </c>
      <c r="E42" s="50" t="s">
        <v>342</v>
      </c>
      <c r="F42" s="50" t="s">
        <v>284</v>
      </c>
      <c r="G42" s="50" t="s">
        <v>150</v>
      </c>
      <c r="H42" s="50" t="s">
        <v>286</v>
      </c>
      <c r="I42" s="50" t="s">
        <v>343</v>
      </c>
      <c r="J42" s="51"/>
    </row>
    <row r="43" s="36" customFormat="1" ht="56" customHeight="1" spans="1:10">
      <c r="A43" s="6">
        <v>9</v>
      </c>
      <c r="B43" s="187" t="s">
        <v>344</v>
      </c>
      <c r="C43" s="50" t="s">
        <v>345</v>
      </c>
      <c r="D43" s="33" t="s">
        <v>255</v>
      </c>
      <c r="E43" s="50"/>
      <c r="F43" s="50"/>
      <c r="G43" s="50"/>
      <c r="H43" s="50"/>
      <c r="I43" s="50" t="s">
        <v>346</v>
      </c>
      <c r="J43" s="51"/>
    </row>
    <row r="44" s="91" customFormat="1" ht="57" spans="1:10">
      <c r="A44" s="6">
        <v>10</v>
      </c>
      <c r="B44" s="187" t="s">
        <v>347</v>
      </c>
      <c r="C44" s="50" t="s">
        <v>348</v>
      </c>
      <c r="D44" s="33">
        <v>1</v>
      </c>
      <c r="E44" s="50" t="s">
        <v>336</v>
      </c>
      <c r="F44" s="50" t="s">
        <v>284</v>
      </c>
      <c r="G44" s="50" t="s">
        <v>150</v>
      </c>
      <c r="H44" s="50" t="s">
        <v>286</v>
      </c>
      <c r="I44" s="50" t="s">
        <v>349</v>
      </c>
      <c r="J44" s="51" t="s">
        <v>350</v>
      </c>
    </row>
    <row r="45" s="91" customFormat="1" ht="53" customHeight="1" spans="1:10">
      <c r="A45" s="6">
        <v>11</v>
      </c>
      <c r="B45" s="187" t="s">
        <v>351</v>
      </c>
      <c r="C45" s="50" t="s">
        <v>352</v>
      </c>
      <c r="D45" s="33">
        <v>1</v>
      </c>
      <c r="E45" s="50" t="s">
        <v>336</v>
      </c>
      <c r="F45" s="50" t="s">
        <v>284</v>
      </c>
      <c r="G45" s="50" t="s">
        <v>150</v>
      </c>
      <c r="H45" s="50" t="s">
        <v>286</v>
      </c>
      <c r="I45" s="50" t="s">
        <v>353</v>
      </c>
      <c r="J45" s="51"/>
    </row>
    <row r="46" s="91" customFormat="1" ht="33" customHeight="1" spans="1:10">
      <c r="A46" s="6">
        <v>13</v>
      </c>
      <c r="B46" s="187" t="s">
        <v>354</v>
      </c>
      <c r="C46" s="50" t="s">
        <v>355</v>
      </c>
      <c r="D46" s="33">
        <v>1</v>
      </c>
      <c r="E46" s="50" t="s">
        <v>356</v>
      </c>
      <c r="F46" s="50" t="s">
        <v>284</v>
      </c>
      <c r="G46" s="50" t="s">
        <v>150</v>
      </c>
      <c r="H46" s="50" t="s">
        <v>286</v>
      </c>
      <c r="I46" s="50" t="s">
        <v>357</v>
      </c>
      <c r="J46" s="51"/>
    </row>
    <row r="47" s="91" customFormat="1" spans="1:10">
      <c r="A47" s="6">
        <v>14</v>
      </c>
      <c r="B47" s="187" t="s">
        <v>358</v>
      </c>
      <c r="C47" s="50"/>
      <c r="D47" s="33">
        <v>1</v>
      </c>
      <c r="E47" s="50" t="s">
        <v>359</v>
      </c>
      <c r="F47" s="50" t="s">
        <v>284</v>
      </c>
      <c r="G47" s="50" t="s">
        <v>150</v>
      </c>
      <c r="H47" s="50" t="s">
        <v>22</v>
      </c>
      <c r="I47" s="50" t="s">
        <v>360</v>
      </c>
      <c r="J47" s="51"/>
    </row>
    <row r="48" s="91" customFormat="1" ht="28.5" spans="1:10">
      <c r="A48" s="6">
        <v>15</v>
      </c>
      <c r="B48" s="187" t="s">
        <v>361</v>
      </c>
      <c r="C48" s="50"/>
      <c r="D48" s="33">
        <v>1</v>
      </c>
      <c r="E48" s="50" t="s">
        <v>356</v>
      </c>
      <c r="F48" s="50" t="s">
        <v>284</v>
      </c>
      <c r="G48" s="50" t="s">
        <v>150</v>
      </c>
      <c r="H48" s="50" t="s">
        <v>22</v>
      </c>
      <c r="I48" s="50" t="s">
        <v>362</v>
      </c>
      <c r="J48" s="51"/>
    </row>
    <row r="49" s="91" customFormat="1" ht="28.5" spans="1:10">
      <c r="A49" s="6">
        <v>16</v>
      </c>
      <c r="B49" s="187" t="s">
        <v>363</v>
      </c>
      <c r="C49" s="50"/>
      <c r="D49" s="33">
        <v>1</v>
      </c>
      <c r="E49" s="50" t="s">
        <v>356</v>
      </c>
      <c r="F49" s="50" t="s">
        <v>284</v>
      </c>
      <c r="G49" s="50" t="s">
        <v>150</v>
      </c>
      <c r="H49" s="50" t="s">
        <v>22</v>
      </c>
      <c r="I49" s="50" t="s">
        <v>364</v>
      </c>
      <c r="J49" s="51"/>
    </row>
    <row r="50" s="91" customFormat="1" ht="28.5" spans="1:10">
      <c r="A50" s="6">
        <v>17</v>
      </c>
      <c r="B50" s="187" t="s">
        <v>365</v>
      </c>
      <c r="C50" s="50"/>
      <c r="D50" s="33">
        <v>1</v>
      </c>
      <c r="E50" s="50" t="s">
        <v>356</v>
      </c>
      <c r="F50" s="50" t="s">
        <v>284</v>
      </c>
      <c r="G50" s="50" t="s">
        <v>150</v>
      </c>
      <c r="H50" s="50" t="s">
        <v>22</v>
      </c>
      <c r="I50" s="50" t="s">
        <v>366</v>
      </c>
      <c r="J50" s="51"/>
    </row>
    <row r="51" s="91" customFormat="1" ht="28.5" spans="1:10">
      <c r="A51" s="6">
        <v>18</v>
      </c>
      <c r="B51" s="187" t="s">
        <v>367</v>
      </c>
      <c r="C51" s="50"/>
      <c r="D51" s="33">
        <v>1</v>
      </c>
      <c r="E51" s="50" t="s">
        <v>356</v>
      </c>
      <c r="F51" s="50" t="s">
        <v>284</v>
      </c>
      <c r="G51" s="50" t="s">
        <v>150</v>
      </c>
      <c r="H51" s="50" t="s">
        <v>286</v>
      </c>
      <c r="I51" s="50" t="s">
        <v>368</v>
      </c>
      <c r="J51" s="51"/>
    </row>
    <row r="52" s="91" customFormat="1" ht="42.75" spans="1:10">
      <c r="A52" s="6">
        <v>19</v>
      </c>
      <c r="B52" s="187" t="s">
        <v>369</v>
      </c>
      <c r="C52" s="50" t="s">
        <v>370</v>
      </c>
      <c r="D52" s="33">
        <v>1</v>
      </c>
      <c r="E52" s="50" t="s">
        <v>371</v>
      </c>
      <c r="F52" s="50" t="s">
        <v>284</v>
      </c>
      <c r="G52" s="50" t="s">
        <v>32</v>
      </c>
      <c r="H52" s="50" t="s">
        <v>286</v>
      </c>
      <c r="I52" s="50" t="s">
        <v>372</v>
      </c>
      <c r="J52" s="51"/>
    </row>
    <row r="53" s="91" customFormat="1" spans="1:10">
      <c r="A53" s="6">
        <v>20</v>
      </c>
      <c r="B53" s="187" t="s">
        <v>373</v>
      </c>
      <c r="C53" s="50"/>
      <c r="D53" s="33"/>
      <c r="E53" s="50"/>
      <c r="F53" s="50"/>
      <c r="G53" s="50"/>
      <c r="H53" s="50"/>
      <c r="I53" s="50" t="s">
        <v>374</v>
      </c>
      <c r="J53" s="51" t="s">
        <v>22</v>
      </c>
    </row>
    <row r="54" s="91" customFormat="1" ht="49" customHeight="1" spans="1:10">
      <c r="A54" s="6">
        <v>21</v>
      </c>
      <c r="B54" s="187" t="s">
        <v>271</v>
      </c>
      <c r="C54" s="50" t="s">
        <v>375</v>
      </c>
      <c r="D54" s="33"/>
      <c r="E54" s="50"/>
      <c r="F54" s="50"/>
      <c r="G54" s="50"/>
      <c r="H54" s="50"/>
      <c r="I54" s="50" t="s">
        <v>376</v>
      </c>
      <c r="J54" s="51"/>
    </row>
    <row r="55" s="91" customFormat="1" ht="34" customHeight="1" spans="1:10">
      <c r="A55" s="6">
        <v>22</v>
      </c>
      <c r="B55" s="187" t="s">
        <v>377</v>
      </c>
      <c r="C55" s="50" t="s">
        <v>378</v>
      </c>
      <c r="D55" s="33">
        <v>1</v>
      </c>
      <c r="E55" s="50" t="s">
        <v>379</v>
      </c>
      <c r="F55" s="50" t="s">
        <v>284</v>
      </c>
      <c r="G55" s="50" t="s">
        <v>150</v>
      </c>
      <c r="H55" s="50" t="s">
        <v>17</v>
      </c>
      <c r="I55" s="50" t="s">
        <v>18</v>
      </c>
      <c r="J55" s="51"/>
    </row>
    <row r="56" s="91" customFormat="1" ht="35" customHeight="1" spans="1:10">
      <c r="A56" s="6">
        <v>23</v>
      </c>
      <c r="B56" s="187" t="s">
        <v>380</v>
      </c>
      <c r="C56" s="50" t="s">
        <v>381</v>
      </c>
      <c r="D56" s="33">
        <v>1</v>
      </c>
      <c r="E56" s="50" t="s">
        <v>379</v>
      </c>
      <c r="F56" s="50" t="s">
        <v>284</v>
      </c>
      <c r="G56" s="50"/>
      <c r="H56" s="50"/>
      <c r="I56" s="50" t="s">
        <v>382</v>
      </c>
      <c r="J56" s="51"/>
    </row>
    <row r="57" s="91" customFormat="1" ht="45" customHeight="1" spans="1:10">
      <c r="A57" s="6">
        <v>24</v>
      </c>
      <c r="B57" s="50" t="s">
        <v>261</v>
      </c>
      <c r="C57" s="50"/>
      <c r="D57" s="33"/>
      <c r="E57" s="50"/>
      <c r="F57" s="50" t="s">
        <v>284</v>
      </c>
      <c r="G57" s="50"/>
      <c r="H57" s="50"/>
      <c r="I57" s="50"/>
      <c r="J57" s="51" t="s">
        <v>258</v>
      </c>
    </row>
    <row r="58" s="91" customFormat="1" ht="35" customHeight="1" spans="1:10">
      <c r="A58" s="6">
        <v>25</v>
      </c>
      <c r="B58" s="187" t="s">
        <v>383</v>
      </c>
      <c r="C58" s="50" t="s">
        <v>384</v>
      </c>
      <c r="D58" s="33"/>
      <c r="E58" s="50" t="s">
        <v>385</v>
      </c>
      <c r="F58" s="50" t="s">
        <v>284</v>
      </c>
      <c r="G58" s="50"/>
      <c r="H58" s="50" t="s">
        <v>17</v>
      </c>
      <c r="I58" s="50" t="s">
        <v>386</v>
      </c>
      <c r="J58" s="51"/>
    </row>
    <row r="59" s="181" customFormat="1" ht="30" customHeight="1" spans="1:10">
      <c r="A59" s="6">
        <v>26</v>
      </c>
      <c r="B59" s="187" t="s">
        <v>387</v>
      </c>
      <c r="C59" s="50" t="s">
        <v>388</v>
      </c>
      <c r="D59" s="33"/>
      <c r="E59" s="50" t="s">
        <v>389</v>
      </c>
      <c r="F59" s="50" t="s">
        <v>284</v>
      </c>
      <c r="G59" s="50"/>
      <c r="H59" s="50" t="s">
        <v>17</v>
      </c>
      <c r="I59" s="50" t="s">
        <v>386</v>
      </c>
      <c r="J59" s="51"/>
    </row>
    <row r="60" s="35" customFormat="1" ht="54" spans="1:10">
      <c r="A60" s="6">
        <v>27</v>
      </c>
      <c r="B60" s="195" t="s">
        <v>390</v>
      </c>
      <c r="C60" s="50"/>
      <c r="D60" s="33">
        <v>1</v>
      </c>
      <c r="E60" s="50"/>
      <c r="F60" s="50"/>
      <c r="G60" s="50"/>
      <c r="H60" s="50"/>
      <c r="I60" s="50"/>
      <c r="J60" s="51"/>
    </row>
    <row r="61" ht="42" customHeight="1" spans="1:10">
      <c r="A61" s="5"/>
      <c r="B61" s="196" t="s">
        <v>391</v>
      </c>
      <c r="C61" s="196"/>
      <c r="D61" s="196"/>
      <c r="E61" s="196"/>
      <c r="F61" s="196"/>
      <c r="G61" s="196"/>
      <c r="H61" s="196"/>
      <c r="I61" s="196"/>
      <c r="J61" s="201"/>
    </row>
    <row r="62" ht="21" customHeight="1" spans="1:10">
      <c r="A62" s="2" t="s">
        <v>1</v>
      </c>
      <c r="B62" s="184" t="s">
        <v>2</v>
      </c>
      <c r="C62" s="49" t="s">
        <v>3</v>
      </c>
      <c r="D62" s="3" t="s">
        <v>4</v>
      </c>
      <c r="E62" s="49" t="s">
        <v>5</v>
      </c>
      <c r="F62" s="49" t="s">
        <v>6</v>
      </c>
      <c r="G62" s="49" t="s">
        <v>251</v>
      </c>
      <c r="H62" s="49" t="s">
        <v>7</v>
      </c>
      <c r="I62" s="49" t="s">
        <v>252</v>
      </c>
      <c r="J62" s="13" t="s">
        <v>12</v>
      </c>
    </row>
    <row r="63" spans="1:10">
      <c r="A63" s="5">
        <v>1</v>
      </c>
      <c r="B63" s="184" t="s">
        <v>392</v>
      </c>
      <c r="C63" s="49"/>
      <c r="D63" s="3">
        <v>1</v>
      </c>
      <c r="E63" s="49"/>
      <c r="F63" s="49"/>
      <c r="G63" s="49"/>
      <c r="H63" s="49"/>
      <c r="I63" s="49" t="s">
        <v>393</v>
      </c>
      <c r="J63" s="13"/>
    </row>
    <row r="64" ht="42.75" spans="1:10">
      <c r="A64" s="5">
        <v>2</v>
      </c>
      <c r="B64" s="184" t="s">
        <v>394</v>
      </c>
      <c r="C64" s="49"/>
      <c r="D64" s="3">
        <v>1</v>
      </c>
      <c r="E64" s="49"/>
      <c r="F64" s="49"/>
      <c r="G64" s="49"/>
      <c r="H64" s="49"/>
      <c r="I64" s="49"/>
      <c r="J64" s="13"/>
    </row>
    <row r="65" ht="28.5" spans="1:10">
      <c r="A65" s="5">
        <v>3</v>
      </c>
      <c r="B65" s="184" t="s">
        <v>395</v>
      </c>
      <c r="C65" s="49"/>
      <c r="D65" s="3">
        <v>1</v>
      </c>
      <c r="E65" s="49" t="s">
        <v>396</v>
      </c>
      <c r="F65" s="49" t="s">
        <v>331</v>
      </c>
      <c r="G65" s="49"/>
      <c r="H65" s="49" t="s">
        <v>32</v>
      </c>
      <c r="I65" s="49" t="s">
        <v>397</v>
      </c>
      <c r="J65" s="13"/>
    </row>
    <row r="66" ht="30" customHeight="1" spans="1:10">
      <c r="A66" s="5">
        <v>4</v>
      </c>
      <c r="B66" s="184" t="s">
        <v>398</v>
      </c>
      <c r="C66" s="49" t="s">
        <v>319</v>
      </c>
      <c r="D66" s="3">
        <v>1</v>
      </c>
      <c r="E66" s="49" t="s">
        <v>396</v>
      </c>
      <c r="F66" s="49" t="s">
        <v>331</v>
      </c>
      <c r="G66" s="49"/>
      <c r="H66" s="49" t="s">
        <v>32</v>
      </c>
      <c r="I66" s="49" t="s">
        <v>399</v>
      </c>
      <c r="J66" s="99" t="s">
        <v>400</v>
      </c>
    </row>
    <row r="67" ht="28.5" spans="1:10">
      <c r="A67" s="5">
        <v>5</v>
      </c>
      <c r="B67" s="184" t="s">
        <v>401</v>
      </c>
      <c r="C67" s="49" t="s">
        <v>402</v>
      </c>
      <c r="D67" s="3">
        <v>1</v>
      </c>
      <c r="E67" s="49" t="s">
        <v>396</v>
      </c>
      <c r="F67" s="49" t="s">
        <v>331</v>
      </c>
      <c r="G67" s="49"/>
      <c r="H67" s="49" t="s">
        <v>32</v>
      </c>
      <c r="I67" s="49" t="s">
        <v>399</v>
      </c>
      <c r="J67" s="203"/>
    </row>
    <row r="68" spans="1:10">
      <c r="A68" s="5">
        <v>6</v>
      </c>
      <c r="B68" s="184" t="s">
        <v>403</v>
      </c>
      <c r="C68" s="49" t="s">
        <v>404</v>
      </c>
      <c r="D68" s="3">
        <v>1</v>
      </c>
      <c r="E68" s="49" t="s">
        <v>396</v>
      </c>
      <c r="F68" s="49" t="s">
        <v>331</v>
      </c>
      <c r="G68" s="49"/>
      <c r="H68" s="49" t="s">
        <v>32</v>
      </c>
      <c r="I68" s="49" t="s">
        <v>399</v>
      </c>
      <c r="J68" s="203"/>
    </row>
    <row r="69" spans="1:10">
      <c r="A69" s="5">
        <v>7</v>
      </c>
      <c r="B69" s="184" t="s">
        <v>403</v>
      </c>
      <c r="C69" s="49" t="s">
        <v>303</v>
      </c>
      <c r="D69" s="3">
        <v>1</v>
      </c>
      <c r="E69" s="49" t="s">
        <v>396</v>
      </c>
      <c r="F69" s="49" t="s">
        <v>331</v>
      </c>
      <c r="G69" s="49"/>
      <c r="H69" s="49" t="s">
        <v>32</v>
      </c>
      <c r="I69" s="49" t="s">
        <v>399</v>
      </c>
      <c r="J69" s="203"/>
    </row>
    <row r="70" spans="1:10">
      <c r="A70" s="5">
        <v>8</v>
      </c>
      <c r="B70" s="184" t="s">
        <v>398</v>
      </c>
      <c r="C70" s="49" t="s">
        <v>405</v>
      </c>
      <c r="D70" s="3">
        <v>1</v>
      </c>
      <c r="E70" s="49" t="s">
        <v>396</v>
      </c>
      <c r="F70" s="49" t="s">
        <v>331</v>
      </c>
      <c r="G70" s="49"/>
      <c r="H70" s="49" t="s">
        <v>32</v>
      </c>
      <c r="I70" s="49" t="s">
        <v>406</v>
      </c>
      <c r="J70" s="204"/>
    </row>
    <row r="71" ht="28.5" spans="1:10">
      <c r="A71" s="5">
        <v>9</v>
      </c>
      <c r="B71" s="184" t="s">
        <v>407</v>
      </c>
      <c r="C71" s="49" t="s">
        <v>408</v>
      </c>
      <c r="D71" s="3">
        <v>1</v>
      </c>
      <c r="E71" s="49"/>
      <c r="F71" s="49"/>
      <c r="G71" s="49"/>
      <c r="H71" s="49"/>
      <c r="I71" s="49" t="s">
        <v>409</v>
      </c>
      <c r="J71" s="204"/>
    </row>
    <row r="72" ht="28.5" spans="1:10">
      <c r="A72" s="5">
        <v>10</v>
      </c>
      <c r="B72" s="184" t="s">
        <v>410</v>
      </c>
      <c r="C72" s="49" t="s">
        <v>319</v>
      </c>
      <c r="D72" s="3">
        <v>1</v>
      </c>
      <c r="E72" s="49" t="s">
        <v>396</v>
      </c>
      <c r="F72" s="49" t="s">
        <v>331</v>
      </c>
      <c r="G72" s="49"/>
      <c r="H72" s="49" t="s">
        <v>48</v>
      </c>
      <c r="I72" s="49" t="s">
        <v>411</v>
      </c>
      <c r="J72" s="49"/>
    </row>
    <row r="73" ht="28.5" spans="1:10">
      <c r="A73" s="5">
        <v>11</v>
      </c>
      <c r="B73" s="184" t="s">
        <v>412</v>
      </c>
      <c r="C73" s="49"/>
      <c r="D73" s="3"/>
      <c r="E73" s="49"/>
      <c r="F73" s="49"/>
      <c r="G73" s="49"/>
      <c r="H73" s="49" t="s">
        <v>32</v>
      </c>
      <c r="I73" s="49" t="s">
        <v>413</v>
      </c>
      <c r="J73" s="49"/>
    </row>
    <row r="74" ht="49" customHeight="1" spans="1:10">
      <c r="A74" s="5">
        <v>12</v>
      </c>
      <c r="B74" s="184" t="s">
        <v>414</v>
      </c>
      <c r="C74" s="49"/>
      <c r="D74" s="3">
        <v>1</v>
      </c>
      <c r="E74" s="49" t="s">
        <v>396</v>
      </c>
      <c r="F74" s="49" t="s">
        <v>331</v>
      </c>
      <c r="G74" s="49"/>
      <c r="H74" s="49" t="s">
        <v>32</v>
      </c>
      <c r="I74" s="49" t="s">
        <v>415</v>
      </c>
      <c r="J74" s="49" t="s">
        <v>298</v>
      </c>
    </row>
    <row r="75" ht="52" customHeight="1" spans="1:10">
      <c r="A75" s="5">
        <v>13</v>
      </c>
      <c r="B75" s="184" t="s">
        <v>416</v>
      </c>
      <c r="C75" s="49"/>
      <c r="D75" s="3">
        <v>1</v>
      </c>
      <c r="E75" s="49"/>
      <c r="F75" s="49"/>
      <c r="G75" s="49"/>
      <c r="H75" s="49"/>
      <c r="I75" s="49" t="s">
        <v>406</v>
      </c>
      <c r="J75" s="13"/>
    </row>
    <row r="76" ht="26" customHeight="1" spans="1:10">
      <c r="A76" s="5">
        <v>14</v>
      </c>
      <c r="B76" s="184" t="s">
        <v>417</v>
      </c>
      <c r="C76" s="49" t="s">
        <v>418</v>
      </c>
      <c r="D76" s="3">
        <v>1</v>
      </c>
      <c r="E76" s="49" t="s">
        <v>396</v>
      </c>
      <c r="F76" s="49" t="s">
        <v>331</v>
      </c>
      <c r="G76" s="49"/>
      <c r="H76" s="49" t="s">
        <v>32</v>
      </c>
      <c r="I76" s="49" t="s">
        <v>409</v>
      </c>
      <c r="J76" s="13"/>
    </row>
    <row r="77" ht="26" customHeight="1" spans="1:10">
      <c r="A77" s="5">
        <v>15</v>
      </c>
      <c r="B77" s="184" t="s">
        <v>417</v>
      </c>
      <c r="C77" s="49" t="s">
        <v>419</v>
      </c>
      <c r="D77" s="3">
        <v>1</v>
      </c>
      <c r="E77" s="49" t="s">
        <v>396</v>
      </c>
      <c r="F77" s="49" t="s">
        <v>331</v>
      </c>
      <c r="G77" s="49"/>
      <c r="H77" s="49" t="s">
        <v>32</v>
      </c>
      <c r="I77" s="49"/>
      <c r="J77" s="13"/>
    </row>
    <row r="78" ht="26" customHeight="1" spans="1:10">
      <c r="A78" s="5">
        <v>16</v>
      </c>
      <c r="B78" s="184" t="s">
        <v>417</v>
      </c>
      <c r="C78" s="49" t="s">
        <v>420</v>
      </c>
      <c r="D78" s="3">
        <v>1</v>
      </c>
      <c r="E78" s="49" t="s">
        <v>396</v>
      </c>
      <c r="F78" s="49" t="s">
        <v>331</v>
      </c>
      <c r="G78" s="49"/>
      <c r="H78" s="49" t="s">
        <v>32</v>
      </c>
      <c r="I78" s="49" t="s">
        <v>421</v>
      </c>
      <c r="J78" s="13"/>
    </row>
    <row r="79" ht="26" customHeight="1" spans="1:10">
      <c r="A79" s="5">
        <v>17</v>
      </c>
      <c r="B79" s="184" t="s">
        <v>417</v>
      </c>
      <c r="C79" s="49" t="s">
        <v>422</v>
      </c>
      <c r="D79" s="3">
        <v>1</v>
      </c>
      <c r="E79" s="49" t="s">
        <v>396</v>
      </c>
      <c r="F79" s="49" t="s">
        <v>331</v>
      </c>
      <c r="G79" s="49"/>
      <c r="H79" s="49" t="s">
        <v>32</v>
      </c>
      <c r="I79" s="49" t="s">
        <v>423</v>
      </c>
      <c r="J79" s="13"/>
    </row>
    <row r="80" ht="26" customHeight="1" spans="1:10">
      <c r="A80" s="5">
        <v>18</v>
      </c>
      <c r="B80" s="184" t="s">
        <v>417</v>
      </c>
      <c r="C80" s="49" t="s">
        <v>424</v>
      </c>
      <c r="D80" s="3">
        <v>1</v>
      </c>
      <c r="E80" s="49" t="s">
        <v>396</v>
      </c>
      <c r="F80" s="49" t="s">
        <v>331</v>
      </c>
      <c r="G80" s="49"/>
      <c r="H80" s="49" t="s">
        <v>32</v>
      </c>
      <c r="I80" s="49" t="s">
        <v>425</v>
      </c>
      <c r="J80" s="13"/>
    </row>
    <row r="81" ht="26" customHeight="1" spans="1:10">
      <c r="A81" s="5">
        <v>19</v>
      </c>
      <c r="B81" s="184" t="s">
        <v>426</v>
      </c>
      <c r="C81" s="49" t="s">
        <v>427</v>
      </c>
      <c r="D81" s="3">
        <v>1</v>
      </c>
      <c r="E81" s="49" t="s">
        <v>396</v>
      </c>
      <c r="F81" s="49" t="s">
        <v>331</v>
      </c>
      <c r="G81" s="49"/>
      <c r="H81" s="49" t="s">
        <v>32</v>
      </c>
      <c r="I81" s="49" t="s">
        <v>425</v>
      </c>
      <c r="J81" s="13"/>
    </row>
    <row r="82" ht="26" customHeight="1" spans="1:10">
      <c r="A82" s="5">
        <v>20</v>
      </c>
      <c r="B82" s="184" t="s">
        <v>417</v>
      </c>
      <c r="C82" s="49" t="s">
        <v>428</v>
      </c>
      <c r="D82" s="3">
        <v>1</v>
      </c>
      <c r="E82" s="49" t="s">
        <v>396</v>
      </c>
      <c r="F82" s="49" t="s">
        <v>331</v>
      </c>
      <c r="G82" s="49"/>
      <c r="H82" s="49" t="s">
        <v>32</v>
      </c>
      <c r="I82" s="49" t="s">
        <v>97</v>
      </c>
      <c r="J82" s="13"/>
    </row>
    <row r="83" ht="26" customHeight="1" spans="1:10">
      <c r="A83" s="5">
        <v>21</v>
      </c>
      <c r="B83" s="184" t="s">
        <v>417</v>
      </c>
      <c r="C83" s="49" t="s">
        <v>429</v>
      </c>
      <c r="D83" s="3">
        <v>1</v>
      </c>
      <c r="E83" s="49" t="s">
        <v>396</v>
      </c>
      <c r="F83" s="49" t="s">
        <v>331</v>
      </c>
      <c r="G83" s="49"/>
      <c r="H83" s="49" t="s">
        <v>32</v>
      </c>
      <c r="I83" s="49" t="s">
        <v>430</v>
      </c>
      <c r="J83" s="13"/>
    </row>
    <row r="84" ht="26" customHeight="1" spans="1:10">
      <c r="A84" s="5">
        <v>22</v>
      </c>
      <c r="B84" s="184" t="s">
        <v>417</v>
      </c>
      <c r="C84" s="49" t="s">
        <v>431</v>
      </c>
      <c r="D84" s="3">
        <v>1</v>
      </c>
      <c r="E84" s="49" t="s">
        <v>396</v>
      </c>
      <c r="F84" s="49" t="s">
        <v>331</v>
      </c>
      <c r="G84" s="49"/>
      <c r="H84" s="49"/>
      <c r="I84" s="49" t="s">
        <v>432</v>
      </c>
      <c r="J84" s="13"/>
    </row>
    <row r="85" ht="26" customHeight="1" spans="1:10">
      <c r="A85" s="5">
        <v>23</v>
      </c>
      <c r="B85" s="184" t="s">
        <v>417</v>
      </c>
      <c r="C85" s="49" t="s">
        <v>433</v>
      </c>
      <c r="D85" s="3">
        <v>1</v>
      </c>
      <c r="E85" s="49"/>
      <c r="F85" s="49"/>
      <c r="G85" s="49"/>
      <c r="H85" s="49"/>
      <c r="I85" s="49" t="s">
        <v>434</v>
      </c>
      <c r="J85" s="13"/>
    </row>
    <row r="86" ht="26" customHeight="1" spans="1:10">
      <c r="A86" s="5">
        <v>24</v>
      </c>
      <c r="B86" s="184" t="s">
        <v>435</v>
      </c>
      <c r="C86" s="49" t="s">
        <v>436</v>
      </c>
      <c r="D86" s="3">
        <v>1</v>
      </c>
      <c r="E86" s="49"/>
      <c r="F86" s="49"/>
      <c r="G86" s="49"/>
      <c r="H86" s="49"/>
      <c r="I86" s="205">
        <v>43017</v>
      </c>
      <c r="J86" s="13"/>
    </row>
    <row r="87" ht="26" customHeight="1" spans="1:10">
      <c r="A87" s="5">
        <v>25</v>
      </c>
      <c r="B87" s="184" t="s">
        <v>437</v>
      </c>
      <c r="C87" s="49" t="s">
        <v>438</v>
      </c>
      <c r="D87" s="3">
        <v>1</v>
      </c>
      <c r="E87" s="49"/>
      <c r="F87" s="49"/>
      <c r="G87" s="49"/>
      <c r="H87" s="49"/>
      <c r="I87" s="49" t="s">
        <v>439</v>
      </c>
      <c r="J87" s="13"/>
    </row>
    <row r="88" ht="26" customHeight="1" spans="1:10">
      <c r="A88" s="5">
        <v>26</v>
      </c>
      <c r="B88" s="184" t="s">
        <v>440</v>
      </c>
      <c r="C88" s="49" t="s">
        <v>441</v>
      </c>
      <c r="D88" s="3"/>
      <c r="E88" s="49"/>
      <c r="F88" s="49"/>
      <c r="G88" s="49"/>
      <c r="H88" s="49"/>
      <c r="I88" s="49" t="s">
        <v>442</v>
      </c>
      <c r="J88" s="13"/>
    </row>
    <row r="89" ht="51" customHeight="1" spans="1:10">
      <c r="A89" s="5">
        <v>27</v>
      </c>
      <c r="B89" s="184" t="s">
        <v>271</v>
      </c>
      <c r="C89" s="49" t="s">
        <v>443</v>
      </c>
      <c r="D89" s="3">
        <v>1</v>
      </c>
      <c r="E89" s="49" t="s">
        <v>256</v>
      </c>
      <c r="F89" s="49" t="s">
        <v>257</v>
      </c>
      <c r="G89" s="49"/>
      <c r="H89" s="49"/>
      <c r="I89" s="49" t="s">
        <v>442</v>
      </c>
      <c r="J89" s="13"/>
    </row>
    <row r="90" ht="42" customHeight="1" spans="1:10">
      <c r="A90" s="5">
        <v>28</v>
      </c>
      <c r="B90" s="184" t="s">
        <v>444</v>
      </c>
      <c r="C90" s="49"/>
      <c r="D90" s="3"/>
      <c r="E90" s="49"/>
      <c r="F90" s="49"/>
      <c r="G90" s="49"/>
      <c r="H90" s="49"/>
      <c r="I90" s="49" t="s">
        <v>445</v>
      </c>
      <c r="J90" s="13"/>
    </row>
    <row r="91" ht="26" customHeight="1" spans="1:10">
      <c r="A91" s="5"/>
      <c r="B91" s="184" t="s">
        <v>446</v>
      </c>
      <c r="C91" s="49" t="s">
        <v>447</v>
      </c>
      <c r="D91" s="3"/>
      <c r="E91" s="49"/>
      <c r="F91" s="49"/>
      <c r="G91" s="49"/>
      <c r="H91" s="49"/>
      <c r="I91" s="49" t="s">
        <v>448</v>
      </c>
      <c r="J91" s="13"/>
    </row>
    <row r="92" ht="26" customHeight="1" spans="1:10">
      <c r="A92" s="5"/>
      <c r="B92" s="184" t="s">
        <v>449</v>
      </c>
      <c r="C92" s="49" t="s">
        <v>450</v>
      </c>
      <c r="D92" s="3"/>
      <c r="E92" s="49"/>
      <c r="F92" s="49"/>
      <c r="G92" s="49"/>
      <c r="H92" s="49"/>
      <c r="I92" s="49" t="s">
        <v>451</v>
      </c>
      <c r="J92" s="13"/>
    </row>
    <row r="93" ht="26" customHeight="1" spans="1:10">
      <c r="A93" s="5"/>
      <c r="B93" s="184" t="s">
        <v>452</v>
      </c>
      <c r="C93" s="49" t="s">
        <v>453</v>
      </c>
      <c r="D93" s="3"/>
      <c r="E93" s="49"/>
      <c r="F93" s="49"/>
      <c r="G93" s="49"/>
      <c r="H93" s="49"/>
      <c r="I93" s="49"/>
      <c r="J93" s="13"/>
    </row>
    <row r="94" ht="26" customHeight="1" spans="1:10">
      <c r="A94" s="5"/>
      <c r="B94" s="184"/>
      <c r="C94" s="49"/>
      <c r="D94" s="3"/>
      <c r="E94" s="49"/>
      <c r="F94" s="49"/>
      <c r="G94" s="49"/>
      <c r="H94" s="49"/>
      <c r="I94" s="49"/>
      <c r="J94" s="13"/>
    </row>
    <row r="95" ht="26" customHeight="1" spans="1:10">
      <c r="A95" s="5"/>
      <c r="B95" s="184"/>
      <c r="C95" s="49"/>
      <c r="D95" s="3"/>
      <c r="E95" s="49"/>
      <c r="F95" s="49"/>
      <c r="G95" s="49"/>
      <c r="H95" s="49"/>
      <c r="I95" s="49"/>
      <c r="J95" s="13"/>
    </row>
    <row r="96" ht="26" customHeight="1" spans="1:10">
      <c r="A96" s="5"/>
      <c r="B96" s="184"/>
      <c r="C96" s="49"/>
      <c r="D96" s="3"/>
      <c r="E96" s="49"/>
      <c r="F96" s="49"/>
      <c r="G96" s="49"/>
      <c r="H96" s="49"/>
      <c r="I96" s="49"/>
      <c r="J96" s="13"/>
    </row>
    <row r="97" ht="26" customHeight="1" spans="1:10">
      <c r="A97" s="5">
        <v>22</v>
      </c>
      <c r="B97" s="184"/>
      <c r="C97" s="49"/>
      <c r="D97" s="3"/>
      <c r="E97" s="49"/>
      <c r="F97" s="49"/>
      <c r="G97" s="49"/>
      <c r="H97" s="49"/>
      <c r="I97" s="49"/>
      <c r="J97" s="13"/>
    </row>
    <row r="98" ht="26" customHeight="1" spans="1:10">
      <c r="A98" s="5">
        <v>23</v>
      </c>
      <c r="B98" s="184" t="s">
        <v>454</v>
      </c>
      <c r="C98" s="49"/>
      <c r="D98" s="3"/>
      <c r="E98" s="49"/>
      <c r="F98" s="49"/>
      <c r="G98" s="49"/>
      <c r="H98" s="49"/>
      <c r="I98" s="49" t="s">
        <v>455</v>
      </c>
      <c r="J98" s="13"/>
    </row>
    <row r="99" ht="26" customHeight="1" spans="1:10">
      <c r="A99" s="5">
        <v>24</v>
      </c>
      <c r="B99" s="184" t="s">
        <v>456</v>
      </c>
      <c r="C99" s="202" t="s">
        <v>457</v>
      </c>
      <c r="D99" s="3">
        <v>1</v>
      </c>
      <c r="E99" s="49" t="s">
        <v>396</v>
      </c>
      <c r="F99" s="49" t="s">
        <v>331</v>
      </c>
      <c r="G99" s="49"/>
      <c r="H99" s="49"/>
      <c r="I99" s="49" t="s">
        <v>432</v>
      </c>
      <c r="J99" s="13"/>
    </row>
    <row r="100" spans="1:4">
      <c r="A100" s="5">
        <v>25</v>
      </c>
      <c r="D100" s="16"/>
    </row>
    <row r="101" spans="4:4">
      <c r="D101" s="16"/>
    </row>
    <row r="102" spans="2:10">
      <c r="B102" s="16" t="s">
        <v>458</v>
      </c>
      <c r="C102" s="16"/>
      <c r="D102" s="16"/>
      <c r="E102" s="16"/>
      <c r="F102" s="16"/>
      <c r="G102" s="16"/>
      <c r="H102" s="16"/>
      <c r="I102" s="16"/>
      <c r="J102" s="16"/>
    </row>
    <row r="103" ht="28.5" spans="1:10">
      <c r="A103" s="2" t="s">
        <v>1</v>
      </c>
      <c r="B103" s="184" t="s">
        <v>2</v>
      </c>
      <c r="C103" s="49" t="s">
        <v>3</v>
      </c>
      <c r="D103" s="3" t="s">
        <v>4</v>
      </c>
      <c r="E103" s="49" t="s">
        <v>5</v>
      </c>
      <c r="F103" s="49" t="s">
        <v>6</v>
      </c>
      <c r="G103" s="49" t="s">
        <v>251</v>
      </c>
      <c r="H103" s="49" t="s">
        <v>7</v>
      </c>
      <c r="I103" s="49" t="s">
        <v>252</v>
      </c>
      <c r="J103" s="13" t="s">
        <v>12</v>
      </c>
    </row>
    <row r="104" ht="57" spans="1:10">
      <c r="A104" s="2">
        <v>1</v>
      </c>
      <c r="B104" s="184" t="s">
        <v>459</v>
      </c>
      <c r="C104" s="49" t="s">
        <v>460</v>
      </c>
      <c r="D104" s="3">
        <v>1</v>
      </c>
      <c r="E104" s="49"/>
      <c r="F104" s="49"/>
      <c r="G104" s="49"/>
      <c r="H104" s="49"/>
      <c r="I104" s="49"/>
      <c r="J104" s="13" t="s">
        <v>461</v>
      </c>
    </row>
    <row r="105" ht="28.5" spans="1:10">
      <c r="A105" s="2">
        <v>2</v>
      </c>
      <c r="B105" s="184" t="s">
        <v>462</v>
      </c>
      <c r="C105" s="49"/>
      <c r="D105" s="3">
        <v>1</v>
      </c>
      <c r="E105" s="49"/>
      <c r="F105" s="49"/>
      <c r="G105" s="49"/>
      <c r="H105" s="49"/>
      <c r="I105" s="49"/>
      <c r="J105" s="13"/>
    </row>
    <row r="106" ht="42.75" spans="1:10">
      <c r="A106" s="2">
        <v>3</v>
      </c>
      <c r="B106" s="49" t="s">
        <v>463</v>
      </c>
      <c r="C106" s="49" t="s">
        <v>464</v>
      </c>
      <c r="D106" s="3">
        <v>1</v>
      </c>
      <c r="E106" s="49"/>
      <c r="F106" s="49"/>
      <c r="G106" s="49"/>
      <c r="H106" s="49"/>
      <c r="I106" s="49" t="s">
        <v>465</v>
      </c>
      <c r="J106" s="13" t="s">
        <v>461</v>
      </c>
    </row>
    <row r="107" ht="28.5" spans="1:10">
      <c r="A107" s="2">
        <v>4</v>
      </c>
      <c r="B107" s="49" t="s">
        <v>292</v>
      </c>
      <c r="C107" s="49" t="s">
        <v>466</v>
      </c>
      <c r="D107" s="3"/>
      <c r="E107" s="49"/>
      <c r="F107" s="49"/>
      <c r="G107" s="49"/>
      <c r="H107" s="49"/>
      <c r="I107" s="49"/>
      <c r="J107" s="13"/>
    </row>
    <row r="108" ht="28.5" spans="1:10">
      <c r="A108" s="2">
        <v>5</v>
      </c>
      <c r="B108" s="49" t="s">
        <v>467</v>
      </c>
      <c r="C108" s="49"/>
      <c r="D108" s="3"/>
      <c r="E108" s="49"/>
      <c r="F108" s="49"/>
      <c r="G108" s="49"/>
      <c r="H108" s="49"/>
      <c r="I108" s="49"/>
      <c r="J108" s="13"/>
    </row>
    <row r="109" ht="28.5" spans="1:10">
      <c r="A109" s="2">
        <v>6</v>
      </c>
      <c r="B109" s="49" t="s">
        <v>468</v>
      </c>
      <c r="C109" s="49"/>
      <c r="D109" s="3" t="s">
        <v>255</v>
      </c>
      <c r="E109" s="49"/>
      <c r="F109" s="49"/>
      <c r="G109" s="49"/>
      <c r="H109" s="49"/>
      <c r="I109" s="206">
        <v>43188</v>
      </c>
      <c r="J109" s="13" t="s">
        <v>469</v>
      </c>
    </row>
    <row r="110" ht="28.5" spans="1:10">
      <c r="A110" s="2">
        <v>7</v>
      </c>
      <c r="B110" s="49" t="s">
        <v>470</v>
      </c>
      <c r="C110" s="49"/>
      <c r="D110" s="3" t="s">
        <v>255</v>
      </c>
      <c r="E110" s="49"/>
      <c r="F110" s="49"/>
      <c r="G110" s="49"/>
      <c r="H110" s="49"/>
      <c r="I110" s="205">
        <v>43188</v>
      </c>
      <c r="J110" s="13" t="s">
        <v>469</v>
      </c>
    </row>
    <row r="111" ht="28.5" spans="1:10">
      <c r="A111" s="2">
        <v>8</v>
      </c>
      <c r="B111" s="49" t="s">
        <v>471</v>
      </c>
      <c r="C111" s="49"/>
      <c r="D111" s="3"/>
      <c r="E111" s="49"/>
      <c r="F111" s="49"/>
      <c r="G111" s="49"/>
      <c r="H111" s="49"/>
      <c r="I111" s="205">
        <v>43187</v>
      </c>
      <c r="J111" s="13"/>
    </row>
    <row r="112" spans="1:10">
      <c r="A112" s="2">
        <v>9</v>
      </c>
      <c r="B112" s="49" t="s">
        <v>449</v>
      </c>
      <c r="C112" s="49" t="s">
        <v>404</v>
      </c>
      <c r="D112" s="3" t="s">
        <v>255</v>
      </c>
      <c r="E112" s="49"/>
      <c r="F112" s="49"/>
      <c r="G112" s="49"/>
      <c r="H112" s="49"/>
      <c r="I112" s="206">
        <v>43205</v>
      </c>
      <c r="J112" s="13"/>
    </row>
    <row r="113" spans="1:10">
      <c r="A113" s="2">
        <v>10</v>
      </c>
      <c r="B113" s="49" t="s">
        <v>449</v>
      </c>
      <c r="C113" s="49" t="s">
        <v>303</v>
      </c>
      <c r="D113" s="3" t="s">
        <v>255</v>
      </c>
      <c r="E113" s="49"/>
      <c r="F113" s="49"/>
      <c r="G113" s="49"/>
      <c r="H113" s="49"/>
      <c r="I113" s="206">
        <v>43208</v>
      </c>
      <c r="J113" s="13"/>
    </row>
    <row r="114" ht="28.5" spans="1:10">
      <c r="A114" s="2">
        <v>11</v>
      </c>
      <c r="B114" s="49" t="s">
        <v>395</v>
      </c>
      <c r="C114" s="49" t="s">
        <v>472</v>
      </c>
      <c r="D114" s="3">
        <v>2</v>
      </c>
      <c r="E114" s="49"/>
      <c r="F114" s="49"/>
      <c r="G114" s="49"/>
      <c r="H114" s="49"/>
      <c r="I114" s="206">
        <v>43222</v>
      </c>
      <c r="J114" s="13"/>
    </row>
    <row r="115" spans="1:9">
      <c r="A115" s="2">
        <v>12</v>
      </c>
      <c r="B115" s="52">
        <v>6</v>
      </c>
      <c r="D115" s="16"/>
      <c r="I115" s="207"/>
    </row>
    <row r="116" ht="28.5" spans="1:10">
      <c r="A116" s="2">
        <v>13</v>
      </c>
      <c r="B116" s="49" t="s">
        <v>473</v>
      </c>
      <c r="C116" s="49"/>
      <c r="D116" s="3"/>
      <c r="E116" s="49"/>
      <c r="F116" s="49"/>
      <c r="G116" s="49"/>
      <c r="H116" s="49"/>
      <c r="I116" s="49" t="s">
        <v>474</v>
      </c>
      <c r="J116" s="13"/>
    </row>
    <row r="117" ht="28.5" spans="1:10">
      <c r="A117" s="2">
        <v>14</v>
      </c>
      <c r="B117" s="49" t="s">
        <v>475</v>
      </c>
      <c r="C117" s="49"/>
      <c r="D117" s="3"/>
      <c r="E117" s="49"/>
      <c r="F117" s="49"/>
      <c r="G117" s="49"/>
      <c r="H117" s="49"/>
      <c r="I117" s="49" t="s">
        <v>474</v>
      </c>
      <c r="J117" s="13"/>
    </row>
    <row r="118" ht="28.5" spans="1:10">
      <c r="A118" s="2">
        <v>15</v>
      </c>
      <c r="B118" s="49" t="s">
        <v>476</v>
      </c>
      <c r="C118" s="49" t="s">
        <v>405</v>
      </c>
      <c r="D118" s="3" t="s">
        <v>255</v>
      </c>
      <c r="E118" s="49"/>
      <c r="F118" s="49"/>
      <c r="G118" s="49"/>
      <c r="H118" s="49"/>
      <c r="I118" s="49" t="s">
        <v>477</v>
      </c>
      <c r="J118" s="13"/>
    </row>
    <row r="119" ht="42.75" spans="1:10">
      <c r="A119" s="2">
        <v>16</v>
      </c>
      <c r="B119" s="49" t="s">
        <v>478</v>
      </c>
      <c r="C119" s="49" t="s">
        <v>479</v>
      </c>
      <c r="D119" s="3"/>
      <c r="E119" s="49"/>
      <c r="F119" s="49"/>
      <c r="G119" s="49"/>
      <c r="H119" s="49"/>
      <c r="I119" s="49" t="s">
        <v>480</v>
      </c>
      <c r="J119" s="13"/>
    </row>
    <row r="120" spans="1:10">
      <c r="A120" s="2">
        <v>17</v>
      </c>
      <c r="B120" s="49"/>
      <c r="C120" s="49"/>
      <c r="D120" s="49"/>
      <c r="E120" s="49"/>
      <c r="F120" s="49"/>
      <c r="G120" s="49"/>
      <c r="H120" s="49"/>
      <c r="I120" s="49"/>
      <c r="J120" s="13"/>
    </row>
    <row r="121" spans="1:10">
      <c r="A121" s="2">
        <v>18</v>
      </c>
      <c r="B121" s="49"/>
      <c r="C121" s="49"/>
      <c r="D121" s="49"/>
      <c r="E121" s="49"/>
      <c r="F121" s="49"/>
      <c r="G121" s="49"/>
      <c r="H121" s="49"/>
      <c r="I121" s="49"/>
      <c r="J121" s="13"/>
    </row>
    <row r="122" spans="1:10">
      <c r="A122" s="2">
        <v>19</v>
      </c>
      <c r="B122" s="49"/>
      <c r="C122" s="49"/>
      <c r="D122" s="49"/>
      <c r="E122" s="49"/>
      <c r="F122" s="49"/>
      <c r="G122" s="49"/>
      <c r="H122" s="49"/>
      <c r="I122" s="49"/>
      <c r="J122" s="13"/>
    </row>
    <row r="123" spans="1:10">
      <c r="A123" s="2">
        <v>20</v>
      </c>
      <c r="B123" s="49"/>
      <c r="C123" s="49"/>
      <c r="D123" s="49"/>
      <c r="E123" s="49"/>
      <c r="F123" s="49"/>
      <c r="G123" s="49"/>
      <c r="H123" s="49"/>
      <c r="I123" s="49"/>
      <c r="J123" s="13"/>
    </row>
    <row r="124" spans="1:10">
      <c r="A124" s="2">
        <v>21</v>
      </c>
      <c r="B124" s="49"/>
      <c r="C124" s="49"/>
      <c r="D124" s="49"/>
      <c r="E124" s="49"/>
      <c r="F124" s="49"/>
      <c r="G124" s="49"/>
      <c r="H124" s="49"/>
      <c r="I124" s="49"/>
      <c r="J124" s="13"/>
    </row>
    <row r="125" spans="1:10">
      <c r="A125" s="2">
        <v>22</v>
      </c>
      <c r="B125" s="49"/>
      <c r="C125" s="49"/>
      <c r="D125" s="49"/>
      <c r="E125" s="49"/>
      <c r="F125" s="49"/>
      <c r="G125" s="49"/>
      <c r="H125" s="49"/>
      <c r="I125" s="49"/>
      <c r="J125" s="13"/>
    </row>
    <row r="126" spans="1:10">
      <c r="A126" s="2">
        <v>23</v>
      </c>
      <c r="B126" s="49"/>
      <c r="C126" s="49"/>
      <c r="D126" s="49"/>
      <c r="E126" s="49"/>
      <c r="F126" s="49"/>
      <c r="G126" s="49"/>
      <c r="H126" s="49"/>
      <c r="I126" s="49"/>
      <c r="J126" s="13"/>
    </row>
    <row r="127" spans="2:10">
      <c r="B127" s="49"/>
      <c r="C127" s="49"/>
      <c r="D127" s="49"/>
      <c r="E127" s="49"/>
      <c r="F127" s="49"/>
      <c r="G127" s="49"/>
      <c r="H127" s="49"/>
      <c r="I127" s="49"/>
      <c r="J127" s="13"/>
    </row>
    <row r="128" spans="1:1">
      <c r="A128" s="32"/>
    </row>
  </sheetData>
  <mergeCells count="9">
    <mergeCell ref="A1:J1"/>
    <mergeCell ref="A32:J32"/>
    <mergeCell ref="B61:J61"/>
    <mergeCell ref="B102:J102"/>
    <mergeCell ref="J23:J24"/>
    <mergeCell ref="J25:J28"/>
    <mergeCell ref="J29:J31"/>
    <mergeCell ref="J36:J38"/>
    <mergeCell ref="J66:J70"/>
  </mergeCells>
  <pageMargins left="0.471527777777778" right="0.313888888888889" top="0.354166666666667" bottom="0.15625" header="0.235416666666667" footer="0.196527777777778"/>
  <pageSetup paperSize="9"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46"/>
  <sheetViews>
    <sheetView workbookViewId="0">
      <pane xSplit="1" ySplit="2" topLeftCell="B133" activePane="bottomRight" state="frozen"/>
      <selection/>
      <selection pane="topRight"/>
      <selection pane="bottomLeft"/>
      <selection pane="bottomRight" activeCell="M137" sqref="M137"/>
    </sheetView>
  </sheetViews>
  <sheetFormatPr defaultColWidth="9" defaultRowHeight="14.25"/>
  <cols>
    <col min="1" max="1" width="6.5" style="59" customWidth="1"/>
    <col min="2" max="2" width="32" style="84" customWidth="1"/>
    <col min="3" max="3" width="15.575" style="84" customWidth="1"/>
    <col min="4" max="4" width="7.25" style="111" customWidth="1"/>
    <col min="5" max="5" width="14.625" style="59" customWidth="1"/>
    <col min="6" max="6" width="15.125" style="59" customWidth="1"/>
    <col min="7" max="7" width="11.25" style="59" customWidth="1"/>
    <col min="8" max="8" width="14.875" style="59" customWidth="1"/>
    <col min="9" max="9" width="8.75" style="59" customWidth="1"/>
    <col min="10" max="16384" width="9" style="59"/>
  </cols>
  <sheetData>
    <row r="1" ht="33.95" customHeight="1" spans="1:11">
      <c r="A1" s="165" t="s">
        <v>481</v>
      </c>
      <c r="B1" s="166"/>
      <c r="C1" s="166"/>
      <c r="D1" s="165"/>
      <c r="E1" s="165"/>
      <c r="F1" s="165"/>
      <c r="G1" s="165"/>
      <c r="H1" s="165"/>
      <c r="I1" s="165"/>
      <c r="J1" s="73"/>
      <c r="K1" s="73"/>
    </row>
    <row r="2" ht="40.5" spans="1:9">
      <c r="A2" s="139" t="s">
        <v>1</v>
      </c>
      <c r="B2" s="70" t="s">
        <v>2</v>
      </c>
      <c r="C2" s="70" t="s">
        <v>3</v>
      </c>
      <c r="D2" s="139" t="s">
        <v>4</v>
      </c>
      <c r="E2" s="167" t="s">
        <v>58</v>
      </c>
      <c r="F2" s="167" t="s">
        <v>59</v>
      </c>
      <c r="G2" s="139" t="s">
        <v>60</v>
      </c>
      <c r="H2" s="139" t="s">
        <v>61</v>
      </c>
      <c r="I2" s="139" t="s">
        <v>12</v>
      </c>
    </row>
    <row r="3" ht="35.1" customHeight="1" spans="1:9">
      <c r="A3" s="168" t="s">
        <v>482</v>
      </c>
      <c r="B3" s="169"/>
      <c r="C3" s="169"/>
      <c r="D3" s="169"/>
      <c r="E3" s="169"/>
      <c r="F3" s="169"/>
      <c r="G3" s="169"/>
      <c r="H3" s="169"/>
      <c r="I3" s="171"/>
    </row>
    <row r="4" ht="35.1" customHeight="1" spans="1:9">
      <c r="A4" s="139">
        <v>1</v>
      </c>
      <c r="B4" s="70" t="s">
        <v>483</v>
      </c>
      <c r="C4" s="70" t="s">
        <v>484</v>
      </c>
      <c r="D4" s="139">
        <v>1</v>
      </c>
      <c r="E4" s="139"/>
      <c r="F4" s="139"/>
      <c r="G4" s="139" t="s">
        <v>485</v>
      </c>
      <c r="H4" s="139"/>
      <c r="I4" s="139"/>
    </row>
    <row r="5" ht="35.1" customHeight="1" spans="1:9">
      <c r="A5" s="139">
        <v>2</v>
      </c>
      <c r="B5" s="70" t="s">
        <v>486</v>
      </c>
      <c r="C5" s="70" t="s">
        <v>487</v>
      </c>
      <c r="D5" s="139">
        <v>1</v>
      </c>
      <c r="E5" s="139"/>
      <c r="F5" s="139"/>
      <c r="G5" s="139" t="s">
        <v>488</v>
      </c>
      <c r="H5" s="139"/>
      <c r="I5" s="139"/>
    </row>
    <row r="6" ht="35.1" customHeight="1" spans="1:9">
      <c r="A6" s="139">
        <v>3</v>
      </c>
      <c r="B6" s="70" t="s">
        <v>486</v>
      </c>
      <c r="C6" s="70" t="s">
        <v>489</v>
      </c>
      <c r="D6" s="139">
        <v>1</v>
      </c>
      <c r="E6" s="139"/>
      <c r="F6" s="139"/>
      <c r="G6" s="139" t="s">
        <v>490</v>
      </c>
      <c r="H6" s="139"/>
      <c r="I6" s="139"/>
    </row>
    <row r="7" ht="35.1" customHeight="1" spans="1:9">
      <c r="A7" s="139">
        <v>4</v>
      </c>
      <c r="B7" s="70" t="s">
        <v>491</v>
      </c>
      <c r="C7" s="70">
        <v>1</v>
      </c>
      <c r="D7" s="139" t="s">
        <v>492</v>
      </c>
      <c r="E7" s="139"/>
      <c r="F7" s="139"/>
      <c r="G7" s="139" t="s">
        <v>493</v>
      </c>
      <c r="H7" s="139"/>
      <c r="I7" s="70" t="s">
        <v>494</v>
      </c>
    </row>
    <row r="8" ht="35.1" customHeight="1" spans="1:9">
      <c r="A8" s="139">
        <v>5</v>
      </c>
      <c r="B8" s="70" t="s">
        <v>491</v>
      </c>
      <c r="C8" s="70">
        <v>1</v>
      </c>
      <c r="D8" s="139" t="s">
        <v>492</v>
      </c>
      <c r="E8" s="139"/>
      <c r="F8" s="139"/>
      <c r="G8" s="139" t="s">
        <v>495</v>
      </c>
      <c r="H8" s="139"/>
      <c r="I8" s="70" t="s">
        <v>494</v>
      </c>
    </row>
    <row r="9" ht="35.1" customHeight="1" spans="1:9">
      <c r="A9" s="139">
        <v>6</v>
      </c>
      <c r="B9" s="70" t="s">
        <v>496</v>
      </c>
      <c r="C9" s="70">
        <v>1</v>
      </c>
      <c r="D9" s="139" t="s">
        <v>492</v>
      </c>
      <c r="E9" s="139"/>
      <c r="F9" s="139"/>
      <c r="G9" s="139" t="s">
        <v>497</v>
      </c>
      <c r="H9" s="139"/>
      <c r="I9" s="70" t="s">
        <v>494</v>
      </c>
    </row>
    <row r="10" ht="35.1" customHeight="1" spans="1:9">
      <c r="A10" s="139">
        <v>7</v>
      </c>
      <c r="B10" s="70" t="s">
        <v>498</v>
      </c>
      <c r="C10" s="70" t="s">
        <v>499</v>
      </c>
      <c r="D10" s="139">
        <v>1</v>
      </c>
      <c r="E10" s="139"/>
      <c r="F10" s="139"/>
      <c r="G10" s="139" t="s">
        <v>500</v>
      </c>
      <c r="H10" s="139" t="s">
        <v>501</v>
      </c>
      <c r="I10" s="139"/>
    </row>
    <row r="11" ht="35.1" customHeight="1" spans="1:9">
      <c r="A11" s="139">
        <v>8</v>
      </c>
      <c r="B11" s="70" t="s">
        <v>502</v>
      </c>
      <c r="C11" s="70" t="s">
        <v>503</v>
      </c>
      <c r="D11" s="139">
        <v>1</v>
      </c>
      <c r="E11" s="139"/>
      <c r="F11" s="139"/>
      <c r="G11" s="139" t="s">
        <v>500</v>
      </c>
      <c r="H11" s="139" t="s">
        <v>504</v>
      </c>
      <c r="I11" s="139"/>
    </row>
    <row r="12" ht="35.1" customHeight="1" spans="1:9">
      <c r="A12" s="139">
        <v>9</v>
      </c>
      <c r="B12" s="70" t="s">
        <v>505</v>
      </c>
      <c r="C12" s="70" t="s">
        <v>506</v>
      </c>
      <c r="D12" s="139">
        <v>1</v>
      </c>
      <c r="E12" s="139"/>
      <c r="F12" s="139"/>
      <c r="G12" s="139" t="s">
        <v>500</v>
      </c>
      <c r="H12" s="139" t="s">
        <v>501</v>
      </c>
      <c r="I12" s="139"/>
    </row>
    <row r="13" ht="35.1" customHeight="1" spans="1:9">
      <c r="A13" s="139">
        <v>10</v>
      </c>
      <c r="B13" s="70" t="s">
        <v>507</v>
      </c>
      <c r="C13" s="70" t="s">
        <v>508</v>
      </c>
      <c r="D13" s="139">
        <v>3</v>
      </c>
      <c r="E13" s="139"/>
      <c r="F13" s="139"/>
      <c r="G13" s="139" t="s">
        <v>504</v>
      </c>
      <c r="H13" s="139" t="s">
        <v>509</v>
      </c>
      <c r="I13" s="139" t="s">
        <v>247</v>
      </c>
    </row>
    <row r="14" ht="35.1" customHeight="1" spans="1:9">
      <c r="A14" s="139">
        <v>11</v>
      </c>
      <c r="B14" s="70" t="s">
        <v>510</v>
      </c>
      <c r="C14" s="70" t="s">
        <v>511</v>
      </c>
      <c r="D14" s="139">
        <v>1</v>
      </c>
      <c r="E14" s="139"/>
      <c r="F14" s="139"/>
      <c r="G14" s="139" t="s">
        <v>504</v>
      </c>
      <c r="H14" s="139" t="s">
        <v>512</v>
      </c>
      <c r="I14" s="139"/>
    </row>
    <row r="15" ht="35.1" customHeight="1" spans="1:9">
      <c r="A15" s="139">
        <v>12</v>
      </c>
      <c r="B15" s="70" t="s">
        <v>513</v>
      </c>
      <c r="C15" s="70" t="s">
        <v>514</v>
      </c>
      <c r="D15" s="139">
        <v>1</v>
      </c>
      <c r="E15" s="139"/>
      <c r="F15" s="139"/>
      <c r="G15" s="139" t="s">
        <v>515</v>
      </c>
      <c r="H15" s="139" t="s">
        <v>516</v>
      </c>
      <c r="I15" s="139"/>
    </row>
    <row r="16" ht="35.1" customHeight="1" spans="1:9">
      <c r="A16" s="139">
        <v>13</v>
      </c>
      <c r="B16" s="70" t="s">
        <v>517</v>
      </c>
      <c r="C16" s="70" t="s">
        <v>518</v>
      </c>
      <c r="D16" s="139">
        <v>1</v>
      </c>
      <c r="E16" s="139"/>
      <c r="F16" s="139"/>
      <c r="G16" s="139" t="s">
        <v>519</v>
      </c>
      <c r="H16" s="139"/>
      <c r="I16" s="139" t="s">
        <v>520</v>
      </c>
    </row>
    <row r="17" ht="35.1" customHeight="1" spans="1:9">
      <c r="A17" s="139">
        <v>14</v>
      </c>
      <c r="B17" s="70" t="s">
        <v>521</v>
      </c>
      <c r="C17" s="70" t="s">
        <v>522</v>
      </c>
      <c r="D17" s="139">
        <v>1</v>
      </c>
      <c r="E17" s="139"/>
      <c r="F17" s="139"/>
      <c r="G17" s="139" t="s">
        <v>519</v>
      </c>
      <c r="H17" s="139"/>
      <c r="I17" s="139" t="s">
        <v>520</v>
      </c>
    </row>
    <row r="18" ht="75.95" customHeight="1" spans="1:9">
      <c r="A18" s="139">
        <v>15</v>
      </c>
      <c r="B18" s="70" t="s">
        <v>523</v>
      </c>
      <c r="C18" s="70" t="s">
        <v>524</v>
      </c>
      <c r="D18" s="139">
        <v>1</v>
      </c>
      <c r="E18" s="139"/>
      <c r="F18" s="139"/>
      <c r="G18" s="139" t="s">
        <v>525</v>
      </c>
      <c r="H18" s="139" t="s">
        <v>525</v>
      </c>
      <c r="I18" s="139"/>
    </row>
    <row r="19" ht="51.95" customHeight="1" spans="1:9">
      <c r="A19" s="139">
        <v>16</v>
      </c>
      <c r="B19" s="70" t="s">
        <v>526</v>
      </c>
      <c r="C19" s="70" t="s">
        <v>527</v>
      </c>
      <c r="D19" s="139">
        <v>1</v>
      </c>
      <c r="E19" s="139"/>
      <c r="F19" s="139"/>
      <c r="G19" s="139" t="s">
        <v>525</v>
      </c>
      <c r="H19" s="139" t="s">
        <v>528</v>
      </c>
      <c r="I19" s="139" t="s">
        <v>529</v>
      </c>
    </row>
    <row r="20" ht="62.1" customHeight="1" spans="1:9">
      <c r="A20" s="139">
        <v>17</v>
      </c>
      <c r="B20" s="70" t="s">
        <v>530</v>
      </c>
      <c r="C20" s="70" t="s">
        <v>531</v>
      </c>
      <c r="D20" s="139">
        <v>1</v>
      </c>
      <c r="E20" s="139"/>
      <c r="F20" s="139"/>
      <c r="G20" s="139" t="s">
        <v>528</v>
      </c>
      <c r="H20" s="139" t="s">
        <v>532</v>
      </c>
      <c r="I20" s="139"/>
    </row>
    <row r="21" ht="75.95" customHeight="1" spans="1:9">
      <c r="A21" s="139">
        <v>18</v>
      </c>
      <c r="B21" s="70" t="s">
        <v>533</v>
      </c>
      <c r="C21" s="70" t="s">
        <v>534</v>
      </c>
      <c r="D21" s="139">
        <v>1</v>
      </c>
      <c r="E21" s="139"/>
      <c r="F21" s="139"/>
      <c r="G21" s="139" t="s">
        <v>528</v>
      </c>
      <c r="H21" s="139"/>
      <c r="I21" s="139" t="s">
        <v>520</v>
      </c>
    </row>
    <row r="22" ht="35.1" customHeight="1" spans="1:9">
      <c r="A22" s="139">
        <v>19</v>
      </c>
      <c r="B22" s="70" t="s">
        <v>535</v>
      </c>
      <c r="C22" s="70" t="s">
        <v>536</v>
      </c>
      <c r="D22" s="139">
        <v>1</v>
      </c>
      <c r="E22" s="139"/>
      <c r="F22" s="139"/>
      <c r="G22" s="139" t="s">
        <v>528</v>
      </c>
      <c r="H22" s="139"/>
      <c r="I22" s="139" t="s">
        <v>520</v>
      </c>
    </row>
    <row r="23" ht="35.1" customHeight="1" spans="1:9">
      <c r="A23" s="139">
        <v>20</v>
      </c>
      <c r="B23" s="70" t="s">
        <v>537</v>
      </c>
      <c r="C23" s="70" t="s">
        <v>538</v>
      </c>
      <c r="D23" s="139">
        <v>1</v>
      </c>
      <c r="E23" s="139"/>
      <c r="F23" s="139"/>
      <c r="G23" s="139" t="s">
        <v>539</v>
      </c>
      <c r="H23" s="139" t="s">
        <v>540</v>
      </c>
      <c r="I23" s="70" t="s">
        <v>541</v>
      </c>
    </row>
    <row r="24" ht="51.95" customHeight="1" spans="1:9">
      <c r="A24" s="139">
        <v>21</v>
      </c>
      <c r="B24" s="70" t="s">
        <v>542</v>
      </c>
      <c r="C24" s="70" t="s">
        <v>543</v>
      </c>
      <c r="D24" s="139">
        <v>1</v>
      </c>
      <c r="E24" s="139"/>
      <c r="F24" s="139"/>
      <c r="G24" s="139" t="s">
        <v>544</v>
      </c>
      <c r="H24" s="139" t="s">
        <v>540</v>
      </c>
      <c r="I24" s="139"/>
    </row>
    <row r="25" ht="51.95" customHeight="1" spans="1:9">
      <c r="A25" s="139">
        <v>22</v>
      </c>
      <c r="B25" s="70" t="s">
        <v>545</v>
      </c>
      <c r="C25" s="70" t="s">
        <v>546</v>
      </c>
      <c r="D25" s="139">
        <v>3</v>
      </c>
      <c r="E25" s="139"/>
      <c r="F25" s="139"/>
      <c r="G25" s="139" t="s">
        <v>544</v>
      </c>
      <c r="H25" s="139"/>
      <c r="I25" s="139" t="s">
        <v>520</v>
      </c>
    </row>
    <row r="26" ht="51.95" customHeight="1" spans="1:9">
      <c r="A26" s="139">
        <v>23</v>
      </c>
      <c r="B26" s="70" t="s">
        <v>547</v>
      </c>
      <c r="C26" s="70" t="s">
        <v>548</v>
      </c>
      <c r="D26" s="139">
        <v>1</v>
      </c>
      <c r="E26" s="139"/>
      <c r="F26" s="139"/>
      <c r="G26" s="139" t="s">
        <v>549</v>
      </c>
      <c r="H26" s="139" t="s">
        <v>313</v>
      </c>
      <c r="I26" s="139"/>
    </row>
    <row r="27" ht="51.95" customHeight="1" spans="1:9">
      <c r="A27" s="139">
        <v>24</v>
      </c>
      <c r="B27" s="70" t="s">
        <v>550</v>
      </c>
      <c r="C27" s="70" t="s">
        <v>551</v>
      </c>
      <c r="D27" s="139">
        <v>1</v>
      </c>
      <c r="E27" s="139"/>
      <c r="F27" s="139"/>
      <c r="G27" s="139" t="s">
        <v>552</v>
      </c>
      <c r="H27" s="139" t="s">
        <v>314</v>
      </c>
      <c r="I27" s="139"/>
    </row>
    <row r="28" ht="63" customHeight="1" spans="1:9">
      <c r="A28" s="139">
        <v>25</v>
      </c>
      <c r="B28" s="70" t="s">
        <v>553</v>
      </c>
      <c r="C28" s="70" t="s">
        <v>554</v>
      </c>
      <c r="D28" s="139">
        <v>4</v>
      </c>
      <c r="E28" s="139"/>
      <c r="F28" s="139"/>
      <c r="G28" s="139" t="s">
        <v>555</v>
      </c>
      <c r="H28" s="139"/>
      <c r="I28" s="139" t="s">
        <v>247</v>
      </c>
    </row>
    <row r="29" ht="54" customHeight="1" spans="1:9">
      <c r="A29" s="139">
        <v>26</v>
      </c>
      <c r="B29" s="70" t="s">
        <v>556</v>
      </c>
      <c r="C29" s="70" t="s">
        <v>557</v>
      </c>
      <c r="D29" s="139">
        <v>5</v>
      </c>
      <c r="E29" s="139"/>
      <c r="F29" s="139"/>
      <c r="G29" s="139" t="s">
        <v>558</v>
      </c>
      <c r="H29" s="139"/>
      <c r="I29" s="139" t="s">
        <v>247</v>
      </c>
    </row>
    <row r="30" ht="35.1" customHeight="1" spans="1:9">
      <c r="A30" s="66" t="s">
        <v>559</v>
      </c>
      <c r="B30" s="66"/>
      <c r="C30" s="66"/>
      <c r="D30" s="66"/>
      <c r="E30" s="66"/>
      <c r="F30" s="66"/>
      <c r="G30" s="66"/>
      <c r="H30" s="66"/>
      <c r="I30" s="66"/>
    </row>
    <row r="31" ht="35.1" customHeight="1" spans="1:9">
      <c r="A31" s="139" t="s">
        <v>1</v>
      </c>
      <c r="B31" s="70" t="s">
        <v>2</v>
      </c>
      <c r="C31" s="70" t="s">
        <v>3</v>
      </c>
      <c r="D31" s="139" t="s">
        <v>4</v>
      </c>
      <c r="E31" s="167" t="s">
        <v>58</v>
      </c>
      <c r="F31" s="167" t="s">
        <v>59</v>
      </c>
      <c r="G31" s="139" t="s">
        <v>60</v>
      </c>
      <c r="H31" s="139" t="s">
        <v>61</v>
      </c>
      <c r="I31" s="139" t="s">
        <v>12</v>
      </c>
    </row>
    <row r="32" ht="35.1" customHeight="1" spans="1:9">
      <c r="A32" s="139">
        <v>1</v>
      </c>
      <c r="B32" s="70" t="s">
        <v>560</v>
      </c>
      <c r="C32" s="70" t="s">
        <v>561</v>
      </c>
      <c r="D32" s="139">
        <v>1</v>
      </c>
      <c r="E32" s="139" t="s">
        <v>22</v>
      </c>
      <c r="F32" s="139" t="s">
        <v>150</v>
      </c>
      <c r="G32" s="139" t="s">
        <v>562</v>
      </c>
      <c r="H32" s="139" t="s">
        <v>562</v>
      </c>
      <c r="I32" s="139"/>
    </row>
    <row r="33" ht="35.1" customHeight="1" spans="1:9">
      <c r="A33" s="139">
        <v>2</v>
      </c>
      <c r="B33" s="70" t="s">
        <v>563</v>
      </c>
      <c r="C33" s="70" t="s">
        <v>564</v>
      </c>
      <c r="D33" s="70">
        <v>1</v>
      </c>
      <c r="E33" s="70" t="s">
        <v>565</v>
      </c>
      <c r="F33" s="70" t="s">
        <v>150</v>
      </c>
      <c r="G33" s="70" t="s">
        <v>566</v>
      </c>
      <c r="H33" s="70"/>
      <c r="I33" s="71" t="s">
        <v>520</v>
      </c>
    </row>
    <row r="34" ht="35.1" customHeight="1" spans="1:9">
      <c r="A34" s="139">
        <v>3</v>
      </c>
      <c r="B34" s="70" t="s">
        <v>567</v>
      </c>
      <c r="C34" s="70" t="s">
        <v>568</v>
      </c>
      <c r="D34" s="70">
        <v>1</v>
      </c>
      <c r="E34" s="70" t="s">
        <v>565</v>
      </c>
      <c r="F34" s="70" t="s">
        <v>150</v>
      </c>
      <c r="G34" s="70" t="s">
        <v>566</v>
      </c>
      <c r="H34" s="70" t="s">
        <v>569</v>
      </c>
      <c r="I34" s="71"/>
    </row>
    <row r="35" ht="35.1" customHeight="1" spans="1:9">
      <c r="A35" s="139">
        <v>4</v>
      </c>
      <c r="B35" s="70" t="s">
        <v>570</v>
      </c>
      <c r="C35" s="70" t="s">
        <v>571</v>
      </c>
      <c r="D35" s="139">
        <v>1</v>
      </c>
      <c r="E35" s="70" t="s">
        <v>286</v>
      </c>
      <c r="F35" s="70" t="s">
        <v>150</v>
      </c>
      <c r="G35" s="70" t="s">
        <v>572</v>
      </c>
      <c r="H35" s="70"/>
      <c r="I35" s="71" t="s">
        <v>520</v>
      </c>
    </row>
    <row r="36" ht="35.1" customHeight="1" spans="1:9">
      <c r="A36" s="139">
        <v>5</v>
      </c>
      <c r="B36" s="70" t="s">
        <v>573</v>
      </c>
      <c r="C36" s="70" t="s">
        <v>574</v>
      </c>
      <c r="D36" s="70">
        <v>1</v>
      </c>
      <c r="E36" s="70" t="s">
        <v>286</v>
      </c>
      <c r="F36" s="70" t="s">
        <v>150</v>
      </c>
      <c r="G36" s="70" t="s">
        <v>572</v>
      </c>
      <c r="H36" s="70"/>
      <c r="I36" s="71" t="s">
        <v>520</v>
      </c>
    </row>
    <row r="37" ht="35.1" customHeight="1" spans="1:9">
      <c r="A37" s="139">
        <v>6</v>
      </c>
      <c r="B37" s="70" t="s">
        <v>575</v>
      </c>
      <c r="C37" s="70" t="s">
        <v>576</v>
      </c>
      <c r="D37" s="70">
        <v>1</v>
      </c>
      <c r="E37" s="70" t="s">
        <v>286</v>
      </c>
      <c r="F37" s="70" t="s">
        <v>150</v>
      </c>
      <c r="G37" s="70" t="s">
        <v>577</v>
      </c>
      <c r="H37" s="70"/>
      <c r="I37" s="71" t="s">
        <v>520</v>
      </c>
    </row>
    <row r="38" ht="35.1" customHeight="1" spans="1:16">
      <c r="A38" s="139">
        <v>7</v>
      </c>
      <c r="B38" s="70" t="s">
        <v>578</v>
      </c>
      <c r="C38" s="70" t="s">
        <v>579</v>
      </c>
      <c r="D38" s="139">
        <v>1</v>
      </c>
      <c r="E38" s="70" t="s">
        <v>565</v>
      </c>
      <c r="F38" s="70" t="s">
        <v>150</v>
      </c>
      <c r="G38" s="70" t="s">
        <v>580</v>
      </c>
      <c r="H38" s="70"/>
      <c r="I38" s="71" t="s">
        <v>520</v>
      </c>
      <c r="P38" s="59">
        <f>40000/666.67</f>
        <v>59.9997000015</v>
      </c>
    </row>
    <row r="39" ht="35.1" customHeight="1" spans="1:9">
      <c r="A39" s="139">
        <v>8</v>
      </c>
      <c r="B39" s="70" t="s">
        <v>581</v>
      </c>
      <c r="C39" s="70" t="s">
        <v>582</v>
      </c>
      <c r="D39" s="70">
        <v>1</v>
      </c>
      <c r="E39" s="70" t="s">
        <v>17</v>
      </c>
      <c r="F39" s="70" t="s">
        <v>583</v>
      </c>
      <c r="G39" s="70" t="s">
        <v>584</v>
      </c>
      <c r="H39" s="70" t="s">
        <v>585</v>
      </c>
      <c r="I39" s="71"/>
    </row>
    <row r="40" ht="35.1" customHeight="1" spans="1:9">
      <c r="A40" s="139">
        <v>9</v>
      </c>
      <c r="B40" s="70" t="s">
        <v>586</v>
      </c>
      <c r="C40" s="70" t="s">
        <v>587</v>
      </c>
      <c r="D40" s="70">
        <v>1</v>
      </c>
      <c r="E40" s="70" t="s">
        <v>17</v>
      </c>
      <c r="F40" s="70" t="s">
        <v>583</v>
      </c>
      <c r="G40" s="70" t="s">
        <v>588</v>
      </c>
      <c r="H40" s="70" t="s">
        <v>585</v>
      </c>
      <c r="I40" s="71"/>
    </row>
    <row r="41" ht="35.1" customHeight="1" spans="1:9">
      <c r="A41" s="139">
        <v>10</v>
      </c>
      <c r="B41" s="70" t="s">
        <v>589</v>
      </c>
      <c r="C41" s="70" t="s">
        <v>590</v>
      </c>
      <c r="D41" s="139">
        <v>1</v>
      </c>
      <c r="E41" s="70" t="s">
        <v>17</v>
      </c>
      <c r="F41" s="70" t="s">
        <v>150</v>
      </c>
      <c r="G41" s="70" t="s">
        <v>591</v>
      </c>
      <c r="H41" s="70" t="s">
        <v>569</v>
      </c>
      <c r="I41" s="71"/>
    </row>
    <row r="42" ht="35.1" customHeight="1" spans="1:9">
      <c r="A42" s="139">
        <v>11</v>
      </c>
      <c r="B42" s="70" t="s">
        <v>592</v>
      </c>
      <c r="C42" s="70" t="s">
        <v>593</v>
      </c>
      <c r="D42" s="70">
        <v>1</v>
      </c>
      <c r="E42" s="70" t="s">
        <v>286</v>
      </c>
      <c r="F42" s="70" t="s">
        <v>150</v>
      </c>
      <c r="G42" s="70" t="s">
        <v>569</v>
      </c>
      <c r="H42" s="70" t="s">
        <v>594</v>
      </c>
      <c r="I42" s="71"/>
    </row>
    <row r="43" ht="35.1" customHeight="1" spans="1:16">
      <c r="A43" s="139">
        <v>12</v>
      </c>
      <c r="B43" s="70" t="s">
        <v>595</v>
      </c>
      <c r="C43" s="70" t="s">
        <v>596</v>
      </c>
      <c r="D43" s="70">
        <v>1</v>
      </c>
      <c r="E43" s="70" t="s">
        <v>286</v>
      </c>
      <c r="F43" s="70" t="s">
        <v>150</v>
      </c>
      <c r="G43" s="70" t="s">
        <v>597</v>
      </c>
      <c r="H43" s="70" t="s">
        <v>594</v>
      </c>
      <c r="I43" s="71"/>
      <c r="P43" s="59">
        <f>400*15*61</f>
        <v>366000</v>
      </c>
    </row>
    <row r="44" ht="35.1" customHeight="1" spans="1:18">
      <c r="A44" s="139">
        <v>13</v>
      </c>
      <c r="B44" s="70" t="s">
        <v>598</v>
      </c>
      <c r="C44" s="70" t="s">
        <v>599</v>
      </c>
      <c r="D44" s="139">
        <v>1</v>
      </c>
      <c r="E44" s="70" t="s">
        <v>286</v>
      </c>
      <c r="F44" s="70" t="s">
        <v>583</v>
      </c>
      <c r="G44" s="70" t="s">
        <v>600</v>
      </c>
      <c r="H44" s="70"/>
      <c r="I44" s="71" t="s">
        <v>520</v>
      </c>
      <c r="P44" s="59">
        <f>2400*60</f>
        <v>144000</v>
      </c>
      <c r="R44" s="59">
        <f>63-35</f>
        <v>28</v>
      </c>
    </row>
    <row r="45" ht="35.1" customHeight="1" spans="1:9">
      <c r="A45" s="139">
        <v>14</v>
      </c>
      <c r="B45" s="70" t="s">
        <v>601</v>
      </c>
      <c r="C45" s="70" t="s">
        <v>602</v>
      </c>
      <c r="D45" s="70">
        <v>1</v>
      </c>
      <c r="E45" s="70" t="s">
        <v>286</v>
      </c>
      <c r="F45" s="70" t="s">
        <v>150</v>
      </c>
      <c r="G45" s="70" t="s">
        <v>603</v>
      </c>
      <c r="H45" s="70" t="s">
        <v>594</v>
      </c>
      <c r="I45" s="71"/>
    </row>
    <row r="46" ht="35.1" customHeight="1" spans="1:9">
      <c r="A46" s="139">
        <v>15</v>
      </c>
      <c r="B46" s="70" t="s">
        <v>604</v>
      </c>
      <c r="C46" s="70" t="s">
        <v>605</v>
      </c>
      <c r="D46" s="70">
        <v>1</v>
      </c>
      <c r="E46" s="70" t="s">
        <v>286</v>
      </c>
      <c r="F46" s="70" t="s">
        <v>150</v>
      </c>
      <c r="G46" s="70" t="s">
        <v>606</v>
      </c>
      <c r="H46" s="70"/>
      <c r="I46" s="71" t="s">
        <v>520</v>
      </c>
    </row>
    <row r="47" customFormat="1" ht="35.1" customHeight="1" spans="1:9">
      <c r="A47" s="139">
        <v>16</v>
      </c>
      <c r="B47" s="70" t="s">
        <v>607</v>
      </c>
      <c r="C47" s="70" t="s">
        <v>608</v>
      </c>
      <c r="D47" s="139">
        <v>1</v>
      </c>
      <c r="E47" s="70" t="s">
        <v>286</v>
      </c>
      <c r="F47" s="70" t="s">
        <v>150</v>
      </c>
      <c r="G47" s="70" t="s">
        <v>609</v>
      </c>
      <c r="H47" s="70"/>
      <c r="I47" s="71" t="s">
        <v>520</v>
      </c>
    </row>
    <row r="48" customFormat="1" ht="35.1" customHeight="1" spans="1:9">
      <c r="A48" s="139">
        <v>17</v>
      </c>
      <c r="B48" s="70" t="s">
        <v>610</v>
      </c>
      <c r="C48" s="70" t="s">
        <v>611</v>
      </c>
      <c r="D48" s="70">
        <v>1</v>
      </c>
      <c r="E48" s="70" t="s">
        <v>286</v>
      </c>
      <c r="F48" s="70" t="s">
        <v>150</v>
      </c>
      <c r="G48" s="70" t="s">
        <v>612</v>
      </c>
      <c r="H48" s="70"/>
      <c r="I48" s="71" t="s">
        <v>520</v>
      </c>
    </row>
    <row r="49" customFormat="1" ht="35.1" customHeight="1" spans="1:9">
      <c r="A49" s="139">
        <v>18</v>
      </c>
      <c r="B49" s="13" t="s">
        <v>613</v>
      </c>
      <c r="C49" s="123" t="s">
        <v>614</v>
      </c>
      <c r="D49" s="70">
        <v>1</v>
      </c>
      <c r="E49" s="70" t="s">
        <v>286</v>
      </c>
      <c r="F49" s="70" t="s">
        <v>150</v>
      </c>
      <c r="G49" s="71" t="s">
        <v>376</v>
      </c>
      <c r="H49" s="71"/>
      <c r="I49" s="71" t="s">
        <v>520</v>
      </c>
    </row>
    <row r="50" customFormat="1" ht="35.1" customHeight="1" spans="1:9">
      <c r="A50" s="139">
        <v>19</v>
      </c>
      <c r="B50" s="123" t="s">
        <v>615</v>
      </c>
      <c r="C50" s="123" t="s">
        <v>616</v>
      </c>
      <c r="D50" s="139">
        <v>1</v>
      </c>
      <c r="E50" s="70" t="s">
        <v>22</v>
      </c>
      <c r="F50" s="70" t="s">
        <v>150</v>
      </c>
      <c r="G50" s="71" t="s">
        <v>376</v>
      </c>
      <c r="H50" s="71"/>
      <c r="I50" s="71" t="s">
        <v>520</v>
      </c>
    </row>
    <row r="51" customFormat="1" ht="35.1" customHeight="1" spans="1:9">
      <c r="A51" s="139">
        <v>20</v>
      </c>
      <c r="B51" s="123" t="s">
        <v>617</v>
      </c>
      <c r="C51" s="123" t="s">
        <v>618</v>
      </c>
      <c r="D51" s="70">
        <v>1</v>
      </c>
      <c r="E51" s="71" t="s">
        <v>22</v>
      </c>
      <c r="F51" s="71" t="s">
        <v>619</v>
      </c>
      <c r="G51" s="71" t="s">
        <v>620</v>
      </c>
      <c r="H51" s="71" t="s">
        <v>621</v>
      </c>
      <c r="I51" s="71"/>
    </row>
    <row r="52" ht="35.1" customHeight="1" spans="1:9">
      <c r="A52" s="139">
        <v>21</v>
      </c>
      <c r="B52" s="123" t="s">
        <v>622</v>
      </c>
      <c r="C52" s="123" t="s">
        <v>623</v>
      </c>
      <c r="D52" s="70">
        <v>1</v>
      </c>
      <c r="E52" s="71" t="s">
        <v>22</v>
      </c>
      <c r="F52" s="71" t="s">
        <v>619</v>
      </c>
      <c r="G52" s="71" t="s">
        <v>620</v>
      </c>
      <c r="H52" s="71"/>
      <c r="I52" s="71" t="s">
        <v>520</v>
      </c>
    </row>
    <row r="53" ht="35.1" customHeight="1" spans="1:9">
      <c r="A53" s="139">
        <v>22</v>
      </c>
      <c r="B53" s="123" t="s">
        <v>624</v>
      </c>
      <c r="C53" s="123" t="s">
        <v>625</v>
      </c>
      <c r="D53" s="139">
        <v>1</v>
      </c>
      <c r="E53" s="71" t="s">
        <v>32</v>
      </c>
      <c r="F53" s="71" t="s">
        <v>626</v>
      </c>
      <c r="G53" s="71" t="s">
        <v>627</v>
      </c>
      <c r="H53" s="71"/>
      <c r="I53" s="71" t="s">
        <v>520</v>
      </c>
    </row>
    <row r="54" ht="32.1" customHeight="1" spans="1:9">
      <c r="A54" s="139">
        <v>23</v>
      </c>
      <c r="B54" s="123" t="s">
        <v>628</v>
      </c>
      <c r="C54" s="123" t="s">
        <v>629</v>
      </c>
      <c r="D54" s="70">
        <v>1</v>
      </c>
      <c r="E54" s="71" t="s">
        <v>22</v>
      </c>
      <c r="F54" s="71" t="s">
        <v>626</v>
      </c>
      <c r="G54" s="71" t="s">
        <v>630</v>
      </c>
      <c r="H54" s="71"/>
      <c r="I54" s="71" t="s">
        <v>520</v>
      </c>
    </row>
    <row r="55" ht="32.1" customHeight="1" spans="1:9">
      <c r="A55" s="139">
        <v>24</v>
      </c>
      <c r="B55" s="123" t="s">
        <v>631</v>
      </c>
      <c r="C55" s="123" t="s">
        <v>632</v>
      </c>
      <c r="D55" s="70">
        <v>1</v>
      </c>
      <c r="E55" s="71" t="s">
        <v>22</v>
      </c>
      <c r="F55" s="71" t="s">
        <v>583</v>
      </c>
      <c r="G55" s="71" t="s">
        <v>633</v>
      </c>
      <c r="H55" s="71"/>
      <c r="I55" s="71" t="s">
        <v>520</v>
      </c>
    </row>
    <row r="56" ht="32.1" customHeight="1" spans="1:9">
      <c r="A56" s="139">
        <v>25</v>
      </c>
      <c r="B56" s="123" t="s">
        <v>634</v>
      </c>
      <c r="C56" s="123" t="s">
        <v>635</v>
      </c>
      <c r="D56" s="139">
        <v>1</v>
      </c>
      <c r="E56" s="71" t="s">
        <v>22</v>
      </c>
      <c r="F56" s="71" t="s">
        <v>150</v>
      </c>
      <c r="G56" s="71" t="s">
        <v>636</v>
      </c>
      <c r="H56" s="69"/>
      <c r="I56" s="71" t="s">
        <v>520</v>
      </c>
    </row>
    <row r="57" ht="32.1" customHeight="1" spans="1:9">
      <c r="A57" s="139">
        <v>26</v>
      </c>
      <c r="B57" s="123" t="s">
        <v>637</v>
      </c>
      <c r="C57" s="123"/>
      <c r="D57" s="70">
        <v>1</v>
      </c>
      <c r="E57" s="71" t="s">
        <v>638</v>
      </c>
      <c r="F57" s="71" t="s">
        <v>639</v>
      </c>
      <c r="G57" s="71" t="s">
        <v>636</v>
      </c>
      <c r="H57" s="71"/>
      <c r="I57" s="71"/>
    </row>
    <row r="58" ht="32.1" customHeight="1" spans="1:9">
      <c r="A58" s="139">
        <v>27</v>
      </c>
      <c r="B58" s="123" t="s">
        <v>640</v>
      </c>
      <c r="C58" s="123" t="s">
        <v>641</v>
      </c>
      <c r="D58" s="139">
        <v>1</v>
      </c>
      <c r="E58" s="71" t="s">
        <v>32</v>
      </c>
      <c r="F58" s="71" t="s">
        <v>583</v>
      </c>
      <c r="G58" s="71" t="s">
        <v>642</v>
      </c>
      <c r="H58" s="71"/>
      <c r="I58" s="71"/>
    </row>
    <row r="59" ht="32.1" customHeight="1" spans="1:9">
      <c r="A59" s="139">
        <v>28</v>
      </c>
      <c r="B59" s="123" t="s">
        <v>643</v>
      </c>
      <c r="C59" s="123" t="s">
        <v>644</v>
      </c>
      <c r="D59" s="70">
        <v>1</v>
      </c>
      <c r="E59" s="71" t="s">
        <v>32</v>
      </c>
      <c r="F59" s="71" t="s">
        <v>150</v>
      </c>
      <c r="G59" s="71" t="s">
        <v>645</v>
      </c>
      <c r="H59" s="71"/>
      <c r="I59" s="71"/>
    </row>
    <row r="60" ht="32.1" customHeight="1" spans="1:9">
      <c r="A60" s="139">
        <v>29</v>
      </c>
      <c r="B60" s="123" t="s">
        <v>646</v>
      </c>
      <c r="C60" s="123" t="s">
        <v>647</v>
      </c>
      <c r="D60" s="70">
        <v>1</v>
      </c>
      <c r="E60" s="71" t="s">
        <v>32</v>
      </c>
      <c r="F60" s="71" t="s">
        <v>626</v>
      </c>
      <c r="G60" s="71" t="s">
        <v>648</v>
      </c>
      <c r="H60" s="71"/>
      <c r="I60" s="71"/>
    </row>
    <row r="61" ht="32.1" customHeight="1" spans="1:9">
      <c r="A61" s="139">
        <v>30</v>
      </c>
      <c r="B61" s="123" t="s">
        <v>649</v>
      </c>
      <c r="C61" s="123" t="s">
        <v>650</v>
      </c>
      <c r="D61" s="139">
        <v>1</v>
      </c>
      <c r="E61" s="71" t="s">
        <v>32</v>
      </c>
      <c r="F61" s="71" t="s">
        <v>626</v>
      </c>
      <c r="G61" s="71" t="s">
        <v>648</v>
      </c>
      <c r="H61" s="71" t="s">
        <v>651</v>
      </c>
      <c r="I61" s="71"/>
    </row>
    <row r="62" spans="1:9">
      <c r="A62" s="139">
        <v>31</v>
      </c>
      <c r="B62" s="123" t="s">
        <v>652</v>
      </c>
      <c r="C62" s="123" t="s">
        <v>653</v>
      </c>
      <c r="D62" s="70">
        <v>1</v>
      </c>
      <c r="E62" s="71" t="s">
        <v>32</v>
      </c>
      <c r="F62" s="71" t="s">
        <v>626</v>
      </c>
      <c r="G62" s="71" t="s">
        <v>648</v>
      </c>
      <c r="H62" s="170">
        <v>42690</v>
      </c>
      <c r="I62" s="71"/>
    </row>
    <row r="63" spans="1:9">
      <c r="A63" s="139">
        <v>32</v>
      </c>
      <c r="B63" s="123" t="s">
        <v>654</v>
      </c>
      <c r="C63" s="123" t="s">
        <v>655</v>
      </c>
      <c r="D63" s="70">
        <v>1</v>
      </c>
      <c r="E63" s="71" t="s">
        <v>32</v>
      </c>
      <c r="F63" s="71" t="s">
        <v>626</v>
      </c>
      <c r="G63" s="71" t="s">
        <v>656</v>
      </c>
      <c r="H63" s="170">
        <v>42690</v>
      </c>
      <c r="I63" s="71"/>
    </row>
    <row r="64" spans="1:9">
      <c r="A64" s="139">
        <v>33</v>
      </c>
      <c r="B64" s="123" t="s">
        <v>657</v>
      </c>
      <c r="C64" s="123" t="s">
        <v>658</v>
      </c>
      <c r="D64" s="139">
        <v>1</v>
      </c>
      <c r="E64" s="71" t="s">
        <v>32</v>
      </c>
      <c r="F64" s="71" t="s">
        <v>150</v>
      </c>
      <c r="G64" s="71" t="s">
        <v>659</v>
      </c>
      <c r="H64" s="71" t="s">
        <v>660</v>
      </c>
      <c r="I64" s="71"/>
    </row>
    <row r="65" spans="1:9">
      <c r="A65" s="139">
        <v>34</v>
      </c>
      <c r="B65" s="123" t="s">
        <v>661</v>
      </c>
      <c r="C65" s="123" t="s">
        <v>662</v>
      </c>
      <c r="D65" s="70">
        <v>1</v>
      </c>
      <c r="E65" s="71"/>
      <c r="F65" s="71"/>
      <c r="G65" s="71" t="s">
        <v>663</v>
      </c>
      <c r="H65" s="71"/>
      <c r="I65" s="71"/>
    </row>
    <row r="66" spans="1:9">
      <c r="A66" s="139">
        <v>35</v>
      </c>
      <c r="B66" s="123" t="s">
        <v>664</v>
      </c>
      <c r="C66" s="123" t="s">
        <v>665</v>
      </c>
      <c r="D66" s="139">
        <v>1</v>
      </c>
      <c r="E66" s="71" t="s">
        <v>32</v>
      </c>
      <c r="F66" s="71"/>
      <c r="G66" s="71"/>
      <c r="H66" s="71"/>
      <c r="I66" s="71"/>
    </row>
    <row r="67" spans="1:9">
      <c r="A67" s="139">
        <v>36</v>
      </c>
      <c r="B67" s="123" t="s">
        <v>666</v>
      </c>
      <c r="C67" s="123" t="s">
        <v>667</v>
      </c>
      <c r="D67" s="70">
        <v>1</v>
      </c>
      <c r="E67" s="71" t="s">
        <v>32</v>
      </c>
      <c r="F67" s="71"/>
      <c r="G67" s="71"/>
      <c r="H67" s="71"/>
      <c r="I67" s="71"/>
    </row>
    <row r="68" spans="1:9">
      <c r="A68" s="139">
        <v>37</v>
      </c>
      <c r="B68" s="123" t="s">
        <v>668</v>
      </c>
      <c r="C68" s="123" t="s">
        <v>669</v>
      </c>
      <c r="D68" s="70">
        <v>1</v>
      </c>
      <c r="E68" s="71" t="s">
        <v>32</v>
      </c>
      <c r="F68" s="71"/>
      <c r="G68" s="71" t="s">
        <v>670</v>
      </c>
      <c r="H68" s="71" t="s">
        <v>671</v>
      </c>
      <c r="I68" s="71"/>
    </row>
    <row r="69" spans="1:9">
      <c r="A69" s="139">
        <v>38</v>
      </c>
      <c r="B69" s="123" t="s">
        <v>672</v>
      </c>
      <c r="C69" s="123" t="s">
        <v>673</v>
      </c>
      <c r="D69" s="139">
        <v>1</v>
      </c>
      <c r="E69" s="71" t="s">
        <v>32</v>
      </c>
      <c r="F69" s="71"/>
      <c r="G69" s="71" t="s">
        <v>674</v>
      </c>
      <c r="H69" s="71" t="s">
        <v>675</v>
      </c>
      <c r="I69" s="71"/>
    </row>
    <row r="70" spans="1:9">
      <c r="A70" s="139">
        <v>39</v>
      </c>
      <c r="B70" s="123" t="s">
        <v>676</v>
      </c>
      <c r="C70" s="123" t="s">
        <v>677</v>
      </c>
      <c r="D70" s="70">
        <v>1</v>
      </c>
      <c r="E70" s="71" t="s">
        <v>678</v>
      </c>
      <c r="F70" s="71"/>
      <c r="G70" s="71" t="s">
        <v>679</v>
      </c>
      <c r="H70" s="71"/>
      <c r="I70" s="71"/>
    </row>
    <row r="71" spans="1:9">
      <c r="A71" s="139">
        <v>40</v>
      </c>
      <c r="B71" s="123" t="s">
        <v>680</v>
      </c>
      <c r="C71" s="123" t="s">
        <v>681</v>
      </c>
      <c r="D71" s="70">
        <v>1</v>
      </c>
      <c r="E71" s="71" t="s">
        <v>678</v>
      </c>
      <c r="F71" s="69"/>
      <c r="G71" s="71" t="s">
        <v>682</v>
      </c>
      <c r="H71" s="69"/>
      <c r="I71" s="69"/>
    </row>
    <row r="72" spans="1:9">
      <c r="A72" s="139">
        <v>41</v>
      </c>
      <c r="B72" s="123" t="s">
        <v>683</v>
      </c>
      <c r="C72" s="123" t="s">
        <v>684</v>
      </c>
      <c r="D72" s="139">
        <v>1</v>
      </c>
      <c r="E72" s="71" t="s">
        <v>678</v>
      </c>
      <c r="F72" s="69"/>
      <c r="G72" s="71" t="s">
        <v>682</v>
      </c>
      <c r="H72" s="69"/>
      <c r="I72" s="69"/>
    </row>
    <row r="73" spans="1:9">
      <c r="A73" s="139">
        <v>42</v>
      </c>
      <c r="B73" s="123" t="s">
        <v>685</v>
      </c>
      <c r="C73" s="123" t="s">
        <v>686</v>
      </c>
      <c r="D73" s="70">
        <v>1</v>
      </c>
      <c r="E73" s="71" t="s">
        <v>678</v>
      </c>
      <c r="F73" s="69"/>
      <c r="G73" s="71" t="s">
        <v>682</v>
      </c>
      <c r="H73" s="69"/>
      <c r="I73" s="69"/>
    </row>
    <row r="74" spans="1:9">
      <c r="A74" s="139">
        <v>43</v>
      </c>
      <c r="B74" s="123" t="s">
        <v>687</v>
      </c>
      <c r="C74" s="123" t="s">
        <v>688</v>
      </c>
      <c r="D74" s="70">
        <v>1</v>
      </c>
      <c r="E74" s="71" t="s">
        <v>678</v>
      </c>
      <c r="F74" s="69"/>
      <c r="G74" s="71" t="s">
        <v>682</v>
      </c>
      <c r="H74" s="69"/>
      <c r="I74" s="69"/>
    </row>
    <row r="75" ht="28.5" spans="1:9">
      <c r="A75" s="139">
        <v>44</v>
      </c>
      <c r="B75" s="123" t="s">
        <v>689</v>
      </c>
      <c r="C75" s="123" t="s">
        <v>690</v>
      </c>
      <c r="D75" s="139">
        <v>1</v>
      </c>
      <c r="E75" s="71" t="s">
        <v>168</v>
      </c>
      <c r="F75" s="69"/>
      <c r="G75" s="71" t="s">
        <v>691</v>
      </c>
      <c r="H75" s="69"/>
      <c r="I75" s="69"/>
    </row>
    <row r="76" spans="1:9">
      <c r="A76" s="139">
        <v>45</v>
      </c>
      <c r="B76" s="123" t="s">
        <v>692</v>
      </c>
      <c r="C76" s="123" t="s">
        <v>693</v>
      </c>
      <c r="D76" s="70">
        <v>1</v>
      </c>
      <c r="E76" s="71" t="s">
        <v>168</v>
      </c>
      <c r="F76" s="69"/>
      <c r="G76" s="71" t="s">
        <v>691</v>
      </c>
      <c r="H76" s="69"/>
      <c r="I76" s="69"/>
    </row>
    <row r="77" ht="28.5" spans="1:9">
      <c r="A77" s="139">
        <v>46</v>
      </c>
      <c r="B77" s="72" t="s">
        <v>694</v>
      </c>
      <c r="C77" s="123" t="s">
        <v>695</v>
      </c>
      <c r="D77" s="70">
        <v>1</v>
      </c>
      <c r="E77" s="71" t="s">
        <v>168</v>
      </c>
      <c r="F77" s="69"/>
      <c r="G77" s="69" t="s">
        <v>696</v>
      </c>
      <c r="H77" s="69"/>
      <c r="I77" s="69"/>
    </row>
    <row r="78" spans="1:9">
      <c r="A78" s="139">
        <v>47</v>
      </c>
      <c r="B78" s="72" t="s">
        <v>697</v>
      </c>
      <c r="C78" s="123" t="s">
        <v>698</v>
      </c>
      <c r="D78" s="139">
        <v>1</v>
      </c>
      <c r="E78" s="71" t="s">
        <v>168</v>
      </c>
      <c r="F78" s="69"/>
      <c r="G78" s="69" t="s">
        <v>696</v>
      </c>
      <c r="H78" s="69" t="s">
        <v>699</v>
      </c>
      <c r="I78" s="69"/>
    </row>
    <row r="79" ht="37.5" spans="1:9">
      <c r="A79" s="139">
        <v>48</v>
      </c>
      <c r="B79" s="172" t="s">
        <v>700</v>
      </c>
      <c r="C79" s="123" t="s">
        <v>701</v>
      </c>
      <c r="D79" s="70">
        <v>1</v>
      </c>
      <c r="E79" s="69"/>
      <c r="F79" s="69"/>
      <c r="G79" s="69"/>
      <c r="H79" s="69"/>
      <c r="I79" s="69" t="s">
        <v>702</v>
      </c>
    </row>
    <row r="80" ht="28.5" spans="1:9">
      <c r="A80" s="139">
        <v>49</v>
      </c>
      <c r="B80" s="123" t="s">
        <v>703</v>
      </c>
      <c r="C80" s="123"/>
      <c r="D80" s="70">
        <v>1</v>
      </c>
      <c r="E80" s="71" t="s">
        <v>704</v>
      </c>
      <c r="F80" s="123" t="s">
        <v>705</v>
      </c>
      <c r="G80" s="71" t="s">
        <v>706</v>
      </c>
      <c r="H80" s="71"/>
      <c r="I80" s="71"/>
    </row>
    <row r="81" spans="1:9">
      <c r="A81" s="139">
        <v>50</v>
      </c>
      <c r="B81" s="123" t="s">
        <v>707</v>
      </c>
      <c r="C81" s="123"/>
      <c r="D81" s="70">
        <v>1</v>
      </c>
      <c r="E81" s="71"/>
      <c r="F81" s="71"/>
      <c r="G81" s="71" t="s">
        <v>708</v>
      </c>
      <c r="H81" s="71"/>
      <c r="I81" s="71" t="s">
        <v>709</v>
      </c>
    </row>
    <row r="82" ht="42.75" spans="1:9">
      <c r="A82" s="139">
        <v>51</v>
      </c>
      <c r="B82" s="123" t="s">
        <v>710</v>
      </c>
      <c r="C82" s="123"/>
      <c r="D82" s="70">
        <v>1</v>
      </c>
      <c r="E82" s="71"/>
      <c r="F82" s="123"/>
      <c r="G82" s="71" t="s">
        <v>711</v>
      </c>
      <c r="H82" s="71"/>
      <c r="I82" s="71" t="s">
        <v>709</v>
      </c>
    </row>
    <row r="83" spans="1:9">
      <c r="A83" s="173" t="s">
        <v>712</v>
      </c>
      <c r="B83" s="174"/>
      <c r="C83" s="174"/>
      <c r="D83" s="174"/>
      <c r="E83" s="174"/>
      <c r="F83" s="174"/>
      <c r="G83" s="174"/>
      <c r="H83" s="174"/>
      <c r="I83" s="180"/>
    </row>
    <row r="84" ht="40.5" spans="1:9">
      <c r="A84" s="139" t="s">
        <v>1</v>
      </c>
      <c r="B84" s="70" t="s">
        <v>2</v>
      </c>
      <c r="C84" s="70" t="s">
        <v>3</v>
      </c>
      <c r="D84" s="139" t="s">
        <v>4</v>
      </c>
      <c r="E84" s="167" t="s">
        <v>58</v>
      </c>
      <c r="F84" s="167" t="s">
        <v>59</v>
      </c>
      <c r="G84" s="139" t="s">
        <v>60</v>
      </c>
      <c r="H84" s="139" t="s">
        <v>61</v>
      </c>
      <c r="I84" s="139" t="s">
        <v>12</v>
      </c>
    </row>
    <row r="85" ht="37.5" spans="1:9">
      <c r="A85" s="175">
        <v>1</v>
      </c>
      <c r="B85" s="176" t="s">
        <v>713</v>
      </c>
      <c r="C85" s="151" t="s">
        <v>714</v>
      </c>
      <c r="D85" s="153">
        <v>5</v>
      </c>
      <c r="E85" s="177"/>
      <c r="F85" s="177" t="s">
        <v>626</v>
      </c>
      <c r="G85" s="177" t="s">
        <v>715</v>
      </c>
      <c r="H85" s="177" t="s">
        <v>716</v>
      </c>
      <c r="I85" s="177" t="s">
        <v>717</v>
      </c>
    </row>
    <row r="86" ht="22" customHeight="1" spans="1:9">
      <c r="A86" s="178">
        <v>2</v>
      </c>
      <c r="B86" s="176" t="s">
        <v>718</v>
      </c>
      <c r="C86" s="72" t="s">
        <v>719</v>
      </c>
      <c r="D86" s="66">
        <v>5</v>
      </c>
      <c r="E86" s="69"/>
      <c r="F86" s="69" t="s">
        <v>150</v>
      </c>
      <c r="G86" s="69" t="s">
        <v>720</v>
      </c>
      <c r="H86" s="71" t="s">
        <v>721</v>
      </c>
      <c r="I86" s="69"/>
    </row>
    <row r="87" spans="1:9">
      <c r="A87" s="175">
        <v>3</v>
      </c>
      <c r="B87" s="72" t="s">
        <v>722</v>
      </c>
      <c r="C87" s="72" t="s">
        <v>723</v>
      </c>
      <c r="D87" s="66">
        <v>5</v>
      </c>
      <c r="E87" s="69"/>
      <c r="F87" s="69"/>
      <c r="G87" s="69"/>
      <c r="H87" s="69"/>
      <c r="I87" s="69" t="s">
        <v>724</v>
      </c>
    </row>
    <row r="88" spans="1:9">
      <c r="A88" s="178">
        <v>4</v>
      </c>
      <c r="B88" s="72" t="s">
        <v>725</v>
      </c>
      <c r="C88" s="72" t="s">
        <v>726</v>
      </c>
      <c r="D88" s="66">
        <v>5</v>
      </c>
      <c r="E88" s="69"/>
      <c r="F88" s="69" t="s">
        <v>626</v>
      </c>
      <c r="G88" s="69" t="s">
        <v>727</v>
      </c>
      <c r="H88" s="69" t="s">
        <v>721</v>
      </c>
      <c r="I88" s="69"/>
    </row>
    <row r="89" ht="25" customHeight="1" spans="1:9">
      <c r="A89" s="175">
        <v>5</v>
      </c>
      <c r="B89" s="72" t="s">
        <v>728</v>
      </c>
      <c r="C89" s="72" t="s">
        <v>729</v>
      </c>
      <c r="D89" s="66">
        <v>5</v>
      </c>
      <c r="E89" s="69"/>
      <c r="F89" s="69" t="s">
        <v>626</v>
      </c>
      <c r="G89" s="69" t="s">
        <v>325</v>
      </c>
      <c r="H89" s="69"/>
      <c r="I89" s="69"/>
    </row>
    <row r="90" ht="25" customHeight="1" spans="1:9">
      <c r="A90" s="178">
        <v>6</v>
      </c>
      <c r="B90" s="72" t="s">
        <v>730</v>
      </c>
      <c r="C90" s="72" t="s">
        <v>731</v>
      </c>
      <c r="D90" s="66">
        <v>5</v>
      </c>
      <c r="E90" s="69"/>
      <c r="F90" s="69" t="s">
        <v>626</v>
      </c>
      <c r="G90" s="69" t="s">
        <v>325</v>
      </c>
      <c r="H90" s="69"/>
      <c r="I90" s="69" t="s">
        <v>732</v>
      </c>
    </row>
    <row r="91" ht="25" customHeight="1" spans="1:9">
      <c r="A91" s="175">
        <v>7</v>
      </c>
      <c r="B91" s="72" t="s">
        <v>733</v>
      </c>
      <c r="C91" s="72" t="s">
        <v>734</v>
      </c>
      <c r="D91" s="66">
        <v>5</v>
      </c>
      <c r="E91" s="69"/>
      <c r="F91" s="69"/>
      <c r="G91" s="69" t="s">
        <v>735</v>
      </c>
      <c r="H91" s="69"/>
      <c r="I91" s="69" t="s">
        <v>736</v>
      </c>
    </row>
    <row r="92" ht="33" customHeight="1" spans="1:9">
      <c r="A92" s="178">
        <v>8</v>
      </c>
      <c r="B92" s="72" t="s">
        <v>737</v>
      </c>
      <c r="C92" s="72" t="s">
        <v>738</v>
      </c>
      <c r="D92" s="66">
        <v>5</v>
      </c>
      <c r="E92" s="69"/>
      <c r="F92" s="69"/>
      <c r="G92" s="69" t="s">
        <v>739</v>
      </c>
      <c r="H92" s="69" t="s">
        <v>721</v>
      </c>
      <c r="I92" s="69"/>
    </row>
    <row r="93" ht="30" customHeight="1" spans="1:9">
      <c r="A93" s="175">
        <v>9</v>
      </c>
      <c r="B93" s="72" t="s">
        <v>740</v>
      </c>
      <c r="C93" s="72" t="s">
        <v>734</v>
      </c>
      <c r="D93" s="66">
        <v>5</v>
      </c>
      <c r="E93" s="69"/>
      <c r="F93" s="69" t="s">
        <v>626</v>
      </c>
      <c r="G93" s="69" t="s">
        <v>741</v>
      </c>
      <c r="H93" s="69"/>
      <c r="I93" s="69"/>
    </row>
    <row r="94" ht="25" customHeight="1" spans="1:9">
      <c r="A94" s="178">
        <v>10</v>
      </c>
      <c r="B94" s="72" t="s">
        <v>560</v>
      </c>
      <c r="C94" s="179" t="s">
        <v>742</v>
      </c>
      <c r="D94" s="66">
        <v>5</v>
      </c>
      <c r="E94" s="69"/>
      <c r="F94" s="69"/>
      <c r="G94" s="69" t="s">
        <v>743</v>
      </c>
      <c r="H94" s="69" t="s">
        <v>744</v>
      </c>
      <c r="I94" s="69"/>
    </row>
    <row r="95" ht="25" customHeight="1" spans="1:9">
      <c r="A95" s="175">
        <v>11</v>
      </c>
      <c r="B95" s="72" t="s">
        <v>745</v>
      </c>
      <c r="C95" s="72" t="s">
        <v>746</v>
      </c>
      <c r="D95" s="66"/>
      <c r="E95" s="69"/>
      <c r="F95" s="69"/>
      <c r="G95" s="69"/>
      <c r="H95" s="69" t="s">
        <v>747</v>
      </c>
      <c r="I95" s="69"/>
    </row>
    <row r="96" ht="25" customHeight="1" spans="1:9">
      <c r="A96" s="178">
        <v>12</v>
      </c>
      <c r="B96" s="72" t="s">
        <v>748</v>
      </c>
      <c r="C96" s="72" t="s">
        <v>749</v>
      </c>
      <c r="D96" s="66"/>
      <c r="E96" s="69"/>
      <c r="F96" s="69"/>
      <c r="G96" s="69"/>
      <c r="H96" s="69" t="s">
        <v>747</v>
      </c>
      <c r="I96" s="69"/>
    </row>
    <row r="97" ht="18" customHeight="1" spans="1:9">
      <c r="A97" s="175">
        <v>13</v>
      </c>
      <c r="B97" s="72" t="s">
        <v>750</v>
      </c>
      <c r="C97" s="72" t="s">
        <v>751</v>
      </c>
      <c r="D97" s="66"/>
      <c r="E97" s="69"/>
      <c r="F97" s="69"/>
      <c r="G97" s="69"/>
      <c r="H97" s="69" t="s">
        <v>747</v>
      </c>
      <c r="I97" s="69"/>
    </row>
    <row r="98" ht="18" customHeight="1" spans="1:9">
      <c r="A98" s="178">
        <v>14</v>
      </c>
      <c r="B98" s="72" t="s">
        <v>752</v>
      </c>
      <c r="C98" s="72" t="s">
        <v>753</v>
      </c>
      <c r="D98" s="66"/>
      <c r="E98" s="69"/>
      <c r="F98" s="69"/>
      <c r="G98" s="69"/>
      <c r="H98" s="69" t="s">
        <v>747</v>
      </c>
      <c r="I98" s="69"/>
    </row>
    <row r="99" ht="18" customHeight="1" spans="1:9">
      <c r="A99" s="175">
        <v>15</v>
      </c>
      <c r="B99" s="72" t="s">
        <v>754</v>
      </c>
      <c r="C99" s="72" t="s">
        <v>755</v>
      </c>
      <c r="D99" s="66"/>
      <c r="E99" s="69"/>
      <c r="F99" s="69"/>
      <c r="G99" s="69"/>
      <c r="H99" s="69" t="s">
        <v>747</v>
      </c>
      <c r="I99" s="69"/>
    </row>
    <row r="100" ht="18" customHeight="1" spans="1:9">
      <c r="A100" s="178">
        <v>16</v>
      </c>
      <c r="B100" s="72" t="s">
        <v>756</v>
      </c>
      <c r="C100" s="72" t="s">
        <v>757</v>
      </c>
      <c r="D100" s="66"/>
      <c r="E100" s="69"/>
      <c r="F100" s="69"/>
      <c r="G100" s="69" t="s">
        <v>758</v>
      </c>
      <c r="H100" s="69"/>
      <c r="I100" s="69"/>
    </row>
    <row r="101" ht="18" customHeight="1" spans="1:9">
      <c r="A101" s="175">
        <v>17</v>
      </c>
      <c r="B101" s="72" t="s">
        <v>759</v>
      </c>
      <c r="C101" s="72" t="s">
        <v>760</v>
      </c>
      <c r="D101" s="66"/>
      <c r="E101" s="69"/>
      <c r="F101" s="69"/>
      <c r="G101" s="69" t="s">
        <v>761</v>
      </c>
      <c r="H101" s="69"/>
      <c r="I101" s="69"/>
    </row>
    <row r="102" ht="18" customHeight="1" spans="1:9">
      <c r="A102" s="178">
        <v>18</v>
      </c>
      <c r="B102" s="72" t="s">
        <v>762</v>
      </c>
      <c r="C102" s="72" t="s">
        <v>763</v>
      </c>
      <c r="D102" s="66"/>
      <c r="E102" s="69"/>
      <c r="F102" s="69"/>
      <c r="G102" s="69" t="s">
        <v>393</v>
      </c>
      <c r="H102" s="69"/>
      <c r="I102" s="69"/>
    </row>
    <row r="103" ht="18" customHeight="1" spans="1:9">
      <c r="A103" s="175">
        <v>19</v>
      </c>
      <c r="B103" s="72" t="s">
        <v>764</v>
      </c>
      <c r="C103" s="72" t="s">
        <v>765</v>
      </c>
      <c r="D103" s="66"/>
      <c r="E103" s="69"/>
      <c r="F103" s="69"/>
      <c r="G103" s="69"/>
      <c r="H103" s="69" t="s">
        <v>766</v>
      </c>
      <c r="I103" s="69"/>
    </row>
    <row r="104" ht="35" customHeight="1" spans="1:9">
      <c r="A104" s="178">
        <v>20</v>
      </c>
      <c r="B104" s="72" t="s">
        <v>767</v>
      </c>
      <c r="C104" s="72" t="s">
        <v>768</v>
      </c>
      <c r="D104" s="66"/>
      <c r="E104" s="69"/>
      <c r="F104" s="69"/>
      <c r="G104" s="69" t="s">
        <v>769</v>
      </c>
      <c r="H104" s="69" t="s">
        <v>397</v>
      </c>
      <c r="I104" s="69"/>
    </row>
    <row r="105" ht="18" customHeight="1" spans="1:9">
      <c r="A105" s="175">
        <v>21</v>
      </c>
      <c r="B105" s="72" t="s">
        <v>770</v>
      </c>
      <c r="C105" s="72" t="s">
        <v>771</v>
      </c>
      <c r="D105" s="66"/>
      <c r="E105" s="69"/>
      <c r="F105" s="69"/>
      <c r="G105" s="69"/>
      <c r="H105" s="69"/>
      <c r="I105" s="69"/>
    </row>
    <row r="106" ht="18" customHeight="1" spans="1:9">
      <c r="A106" s="178">
        <v>22</v>
      </c>
      <c r="B106" s="72" t="s">
        <v>762</v>
      </c>
      <c r="C106" s="72" t="s">
        <v>772</v>
      </c>
      <c r="D106" s="66"/>
      <c r="E106" s="69"/>
      <c r="F106" s="69"/>
      <c r="G106" s="69"/>
      <c r="H106" s="69" t="s">
        <v>773</v>
      </c>
      <c r="I106" s="69"/>
    </row>
    <row r="107" ht="18" customHeight="1" spans="1:9">
      <c r="A107" s="175">
        <v>23</v>
      </c>
      <c r="B107" s="72" t="s">
        <v>774</v>
      </c>
      <c r="C107" s="72" t="s">
        <v>775</v>
      </c>
      <c r="D107" s="66"/>
      <c r="E107" s="69"/>
      <c r="F107" s="69"/>
      <c r="G107" s="69" t="s">
        <v>399</v>
      </c>
      <c r="H107" s="69" t="s">
        <v>766</v>
      </c>
      <c r="I107" s="69"/>
    </row>
    <row r="108" ht="32" customHeight="1" spans="1:9">
      <c r="A108" s="178">
        <v>24</v>
      </c>
      <c r="B108" s="72" t="s">
        <v>776</v>
      </c>
      <c r="C108" s="72" t="s">
        <v>777</v>
      </c>
      <c r="D108" s="66"/>
      <c r="E108" s="69"/>
      <c r="F108" s="69"/>
      <c r="G108" s="69" t="s">
        <v>778</v>
      </c>
      <c r="H108" s="69"/>
      <c r="I108" s="69"/>
    </row>
    <row r="109" ht="32" customHeight="1" spans="1:9">
      <c r="A109" s="178">
        <v>25</v>
      </c>
      <c r="B109" s="72" t="s">
        <v>779</v>
      </c>
      <c r="C109" s="72" t="s">
        <v>780</v>
      </c>
      <c r="D109" s="66"/>
      <c r="E109" s="69"/>
      <c r="F109" s="69"/>
      <c r="G109" s="69"/>
      <c r="H109" s="69"/>
      <c r="I109" s="69" t="s">
        <v>781</v>
      </c>
    </row>
    <row r="110" ht="32" customHeight="1" spans="1:9">
      <c r="A110" s="178">
        <v>26</v>
      </c>
      <c r="B110" s="72" t="s">
        <v>782</v>
      </c>
      <c r="C110" s="72" t="s">
        <v>783</v>
      </c>
      <c r="D110" s="66"/>
      <c r="E110" s="69"/>
      <c r="F110" s="69"/>
      <c r="G110" s="69"/>
      <c r="H110" s="69"/>
      <c r="I110" s="72" t="s">
        <v>784</v>
      </c>
    </row>
    <row r="111" ht="40" customHeight="1" spans="1:9">
      <c r="A111" s="178">
        <v>27</v>
      </c>
      <c r="B111" s="72" t="s">
        <v>785</v>
      </c>
      <c r="C111" s="72"/>
      <c r="D111" s="66"/>
      <c r="E111" s="69"/>
      <c r="F111" s="69"/>
      <c r="G111" s="69"/>
      <c r="H111" s="69"/>
      <c r="I111" s="69"/>
    </row>
    <row r="112" ht="25" customHeight="1" spans="1:9">
      <c r="A112" s="71">
        <v>28</v>
      </c>
      <c r="B112" s="72" t="s">
        <v>786</v>
      </c>
      <c r="C112" s="72" t="s">
        <v>787</v>
      </c>
      <c r="D112" s="66"/>
      <c r="E112" s="69"/>
      <c r="F112" s="69"/>
      <c r="G112" s="69" t="s">
        <v>788</v>
      </c>
      <c r="H112" s="69" t="s">
        <v>409</v>
      </c>
      <c r="I112" s="69"/>
    </row>
    <row r="113" ht="25" customHeight="1" spans="1:9">
      <c r="A113" s="71">
        <v>29</v>
      </c>
      <c r="B113" s="72" t="s">
        <v>789</v>
      </c>
      <c r="C113" s="72" t="s">
        <v>790</v>
      </c>
      <c r="D113" s="66"/>
      <c r="E113" s="69"/>
      <c r="F113" s="69"/>
      <c r="G113" s="69" t="s">
        <v>791</v>
      </c>
      <c r="H113" s="69" t="s">
        <v>792</v>
      </c>
      <c r="I113" s="69"/>
    </row>
    <row r="114" ht="25" customHeight="1" spans="1:9">
      <c r="A114" s="178">
        <v>30</v>
      </c>
      <c r="B114" s="72" t="s">
        <v>793</v>
      </c>
      <c r="C114" s="72" t="s">
        <v>794</v>
      </c>
      <c r="D114" s="66">
        <v>1</v>
      </c>
      <c r="E114" s="69"/>
      <c r="F114" s="69"/>
      <c r="G114" s="69"/>
      <c r="H114" s="69" t="s">
        <v>792</v>
      </c>
      <c r="I114" s="69"/>
    </row>
    <row r="115" ht="25" customHeight="1" spans="1:9">
      <c r="A115" s="71">
        <v>31</v>
      </c>
      <c r="B115" s="72" t="s">
        <v>795</v>
      </c>
      <c r="C115" s="72" t="s">
        <v>796</v>
      </c>
      <c r="D115" s="66">
        <v>1</v>
      </c>
      <c r="E115" s="69"/>
      <c r="F115" s="69"/>
      <c r="G115" s="69"/>
      <c r="H115" s="69" t="s">
        <v>792</v>
      </c>
      <c r="I115" s="69"/>
    </row>
    <row r="116" ht="25" customHeight="1" spans="1:9">
      <c r="A116" s="71">
        <v>32</v>
      </c>
      <c r="B116" s="72" t="s">
        <v>797</v>
      </c>
      <c r="C116" s="72" t="s">
        <v>798</v>
      </c>
      <c r="D116" s="66">
        <v>1</v>
      </c>
      <c r="E116" s="69"/>
      <c r="F116" s="69"/>
      <c r="G116" s="69"/>
      <c r="H116" s="69" t="s">
        <v>792</v>
      </c>
      <c r="I116" s="69"/>
    </row>
    <row r="117" ht="25" customHeight="1" spans="1:9">
      <c r="A117" s="178">
        <v>33</v>
      </c>
      <c r="B117" s="72" t="s">
        <v>799</v>
      </c>
      <c r="C117" s="72" t="s">
        <v>800</v>
      </c>
      <c r="D117" s="66">
        <v>1</v>
      </c>
      <c r="E117" s="69"/>
      <c r="F117" s="69"/>
      <c r="G117" s="69"/>
      <c r="H117" s="69" t="s">
        <v>792</v>
      </c>
      <c r="I117" s="69"/>
    </row>
    <row r="118" ht="25" customHeight="1" spans="1:9">
      <c r="A118" s="71">
        <v>34</v>
      </c>
      <c r="B118" s="72" t="s">
        <v>654</v>
      </c>
      <c r="C118" s="72" t="s">
        <v>801</v>
      </c>
      <c r="D118" s="66">
        <v>1</v>
      </c>
      <c r="E118" s="69"/>
      <c r="F118" s="69"/>
      <c r="G118" s="69"/>
      <c r="H118" s="69" t="s">
        <v>792</v>
      </c>
      <c r="I118" s="69"/>
    </row>
    <row r="119" ht="25" customHeight="1" spans="1:9">
      <c r="A119" s="71">
        <v>35</v>
      </c>
      <c r="B119" s="72" t="s">
        <v>713</v>
      </c>
      <c r="C119" s="72" t="s">
        <v>802</v>
      </c>
      <c r="D119" s="66">
        <v>1</v>
      </c>
      <c r="E119" s="69"/>
      <c r="F119" s="69"/>
      <c r="G119" s="69"/>
      <c r="H119" s="69" t="s">
        <v>792</v>
      </c>
      <c r="I119" s="69"/>
    </row>
    <row r="120" ht="25" customHeight="1" spans="1:9">
      <c r="A120" s="178">
        <v>36</v>
      </c>
      <c r="B120" s="72" t="s">
        <v>803</v>
      </c>
      <c r="C120" s="72" t="s">
        <v>804</v>
      </c>
      <c r="D120" s="66">
        <v>1</v>
      </c>
      <c r="E120" s="69"/>
      <c r="F120" s="69"/>
      <c r="G120" s="69"/>
      <c r="H120" s="69" t="s">
        <v>805</v>
      </c>
      <c r="I120" s="69"/>
    </row>
    <row r="121" ht="25" customHeight="1" spans="1:9">
      <c r="A121" s="71">
        <v>37</v>
      </c>
      <c r="B121" s="72" t="s">
        <v>806</v>
      </c>
      <c r="C121" s="72" t="s">
        <v>807</v>
      </c>
      <c r="D121" s="66">
        <v>1</v>
      </c>
      <c r="E121" s="69"/>
      <c r="F121" s="69"/>
      <c r="G121" s="69"/>
      <c r="H121" s="69" t="s">
        <v>421</v>
      </c>
      <c r="I121" s="69"/>
    </row>
    <row r="122" ht="25" customHeight="1" spans="1:9">
      <c r="A122" s="71">
        <v>38</v>
      </c>
      <c r="B122" s="72" t="s">
        <v>808</v>
      </c>
      <c r="C122" s="72" t="s">
        <v>809</v>
      </c>
      <c r="D122" s="66">
        <v>1</v>
      </c>
      <c r="E122" s="69"/>
      <c r="F122" s="69"/>
      <c r="G122" s="69"/>
      <c r="H122" s="69" t="s">
        <v>430</v>
      </c>
      <c r="I122" s="69"/>
    </row>
    <row r="123" ht="25" customHeight="1" spans="1:9">
      <c r="A123" s="178">
        <v>39</v>
      </c>
      <c r="B123" s="72"/>
      <c r="C123" s="72" t="s">
        <v>810</v>
      </c>
      <c r="D123" s="66"/>
      <c r="E123" s="69"/>
      <c r="F123" s="69"/>
      <c r="G123" s="69"/>
      <c r="H123" s="69"/>
      <c r="I123" s="69" t="s">
        <v>520</v>
      </c>
    </row>
    <row r="124" ht="25" customHeight="1" spans="1:9">
      <c r="A124" s="71">
        <v>40</v>
      </c>
      <c r="B124" s="72" t="s">
        <v>811</v>
      </c>
      <c r="C124" s="72" t="s">
        <v>812</v>
      </c>
      <c r="D124" s="66"/>
      <c r="E124" s="69"/>
      <c r="F124" s="69"/>
      <c r="G124" s="69"/>
      <c r="H124" s="69" t="s">
        <v>430</v>
      </c>
      <c r="I124" s="69"/>
    </row>
    <row r="125" ht="25" customHeight="1" spans="1:9">
      <c r="A125" s="71">
        <v>41</v>
      </c>
      <c r="B125" s="72"/>
      <c r="C125" s="72" t="s">
        <v>813</v>
      </c>
      <c r="D125" s="66"/>
      <c r="E125" s="69"/>
      <c r="F125" s="69"/>
      <c r="G125" s="69"/>
      <c r="H125" s="69"/>
      <c r="I125" s="69" t="s">
        <v>520</v>
      </c>
    </row>
    <row r="126" ht="25" customHeight="1" spans="1:9">
      <c r="A126" s="178">
        <v>42</v>
      </c>
      <c r="B126" s="72" t="s">
        <v>814</v>
      </c>
      <c r="C126" s="72" t="s">
        <v>815</v>
      </c>
      <c r="D126" s="66">
        <v>1</v>
      </c>
      <c r="E126" s="69"/>
      <c r="F126" s="69"/>
      <c r="G126" s="69"/>
      <c r="H126" s="69" t="s">
        <v>816</v>
      </c>
      <c r="I126" s="69"/>
    </row>
    <row r="127" ht="25" customHeight="1" spans="1:9">
      <c r="A127" s="71">
        <v>43</v>
      </c>
      <c r="B127" s="72" t="s">
        <v>817</v>
      </c>
      <c r="C127" s="72" t="s">
        <v>818</v>
      </c>
      <c r="D127" s="66"/>
      <c r="E127" s="69"/>
      <c r="F127" s="69"/>
      <c r="G127" s="69"/>
      <c r="H127" s="69" t="s">
        <v>816</v>
      </c>
      <c r="I127" s="69"/>
    </row>
    <row r="128" ht="25" customHeight="1" spans="1:9">
      <c r="A128" s="71">
        <v>44</v>
      </c>
      <c r="B128" s="72" t="s">
        <v>819</v>
      </c>
      <c r="C128" s="72" t="s">
        <v>820</v>
      </c>
      <c r="D128" s="66"/>
      <c r="E128" s="69"/>
      <c r="F128" s="69"/>
      <c r="G128" s="69"/>
      <c r="H128" s="69" t="s">
        <v>455</v>
      </c>
      <c r="I128" s="69"/>
    </row>
    <row r="129" ht="22" customHeight="1" spans="1:9">
      <c r="A129" s="71">
        <v>45</v>
      </c>
      <c r="B129" s="72" t="s">
        <v>821</v>
      </c>
      <c r="C129" s="72" t="s">
        <v>822</v>
      </c>
      <c r="D129" s="66"/>
      <c r="E129" s="69"/>
      <c r="F129" s="69"/>
      <c r="G129" s="69"/>
      <c r="H129" s="69" t="s">
        <v>442</v>
      </c>
      <c r="I129" s="69"/>
    </row>
    <row r="130" ht="22" customHeight="1" spans="1:9">
      <c r="A130" s="178">
        <v>46</v>
      </c>
      <c r="B130" s="72" t="s">
        <v>823</v>
      </c>
      <c r="C130" s="72" t="s">
        <v>824</v>
      </c>
      <c r="D130" s="66"/>
      <c r="E130" s="69"/>
      <c r="F130" s="69"/>
      <c r="G130" s="69"/>
      <c r="H130" s="69" t="s">
        <v>448</v>
      </c>
      <c r="I130" s="69"/>
    </row>
    <row r="131" ht="22" customHeight="1" spans="1:9">
      <c r="A131" s="178">
        <v>47</v>
      </c>
      <c r="B131" s="72" t="s">
        <v>825</v>
      </c>
      <c r="C131" s="72" t="s">
        <v>826</v>
      </c>
      <c r="D131" s="66"/>
      <c r="E131" s="69"/>
      <c r="F131" s="69"/>
      <c r="G131" s="69"/>
      <c r="H131" s="69" t="s">
        <v>211</v>
      </c>
      <c r="I131" s="69"/>
    </row>
    <row r="132" ht="22" customHeight="1" spans="1:9">
      <c r="A132" s="71">
        <v>48</v>
      </c>
      <c r="B132" s="72" t="s">
        <v>821</v>
      </c>
      <c r="C132" s="72" t="s">
        <v>827</v>
      </c>
      <c r="D132" s="66"/>
      <c r="E132" s="69"/>
      <c r="F132" s="69"/>
      <c r="G132" s="69"/>
      <c r="H132" s="69" t="s">
        <v>828</v>
      </c>
      <c r="I132" s="69"/>
    </row>
    <row r="133" ht="22" customHeight="1" spans="1:9">
      <c r="A133" s="178">
        <v>49</v>
      </c>
      <c r="B133" s="72" t="s">
        <v>829</v>
      </c>
      <c r="C133" s="72" t="s">
        <v>830</v>
      </c>
      <c r="D133" s="66"/>
      <c r="E133" s="69"/>
      <c r="F133" s="69"/>
      <c r="G133" s="69"/>
      <c r="H133" s="69" t="s">
        <v>217</v>
      </c>
      <c r="I133" s="69"/>
    </row>
    <row r="134" ht="37" customHeight="1" spans="1:9">
      <c r="A134" s="178">
        <v>50</v>
      </c>
      <c r="B134" s="72" t="s">
        <v>831</v>
      </c>
      <c r="C134" s="72" t="s">
        <v>832</v>
      </c>
      <c r="D134" s="66"/>
      <c r="E134" s="69"/>
      <c r="F134" s="69"/>
      <c r="G134" s="69"/>
      <c r="H134" s="69" t="s">
        <v>833</v>
      </c>
      <c r="I134" s="69"/>
    </row>
    <row r="135" ht="22" customHeight="1" spans="1:9">
      <c r="A135" s="87" t="s">
        <v>834</v>
      </c>
      <c r="B135" s="116"/>
      <c r="C135" s="116"/>
      <c r="D135" s="116"/>
      <c r="E135" s="116"/>
      <c r="F135" s="116"/>
      <c r="G135" s="116"/>
      <c r="H135" s="116"/>
      <c r="I135" s="89"/>
    </row>
    <row r="136" ht="22" customHeight="1" spans="1:9">
      <c r="A136" s="139" t="s">
        <v>1</v>
      </c>
      <c r="B136" s="70" t="s">
        <v>2</v>
      </c>
      <c r="C136" s="70" t="s">
        <v>3</v>
      </c>
      <c r="D136" s="139" t="s">
        <v>4</v>
      </c>
      <c r="E136" s="167" t="s">
        <v>58</v>
      </c>
      <c r="F136" s="167" t="s">
        <v>59</v>
      </c>
      <c r="G136" s="139" t="s">
        <v>60</v>
      </c>
      <c r="H136" s="139" t="s">
        <v>61</v>
      </c>
      <c r="I136" s="139" t="s">
        <v>12</v>
      </c>
    </row>
    <row r="137" ht="22" customHeight="1" spans="1:9">
      <c r="A137" s="69">
        <v>1</v>
      </c>
      <c r="B137" s="72" t="s">
        <v>835</v>
      </c>
      <c r="C137" s="72" t="s">
        <v>836</v>
      </c>
      <c r="D137" s="66"/>
      <c r="E137" s="69"/>
      <c r="F137" s="69"/>
      <c r="G137" s="69"/>
      <c r="H137" s="161">
        <v>43128</v>
      </c>
      <c r="I137" s="69"/>
    </row>
    <row r="138" ht="22" customHeight="1" spans="1:9">
      <c r="A138" s="69">
        <v>2</v>
      </c>
      <c r="B138" s="72" t="s">
        <v>837</v>
      </c>
      <c r="C138" s="72" t="s">
        <v>838</v>
      </c>
      <c r="D138" s="66"/>
      <c r="E138" s="69"/>
      <c r="F138" s="69"/>
      <c r="G138" s="69"/>
      <c r="H138" s="161">
        <v>43128</v>
      </c>
      <c r="I138" s="69"/>
    </row>
    <row r="139" spans="1:9">
      <c r="A139" s="69"/>
      <c r="B139" s="72"/>
      <c r="C139" s="72"/>
      <c r="D139" s="66"/>
      <c r="E139" s="69"/>
      <c r="F139" s="69"/>
      <c r="G139" s="69"/>
      <c r="H139" s="69"/>
      <c r="I139" s="69"/>
    </row>
    <row r="140" spans="1:9">
      <c r="A140" s="69"/>
      <c r="B140" s="72"/>
      <c r="C140" s="72"/>
      <c r="D140" s="66"/>
      <c r="E140" s="69"/>
      <c r="F140" s="69"/>
      <c r="G140" s="69"/>
      <c r="H140" s="69"/>
      <c r="I140" s="69" t="s">
        <v>48</v>
      </c>
    </row>
    <row r="141" spans="1:9">
      <c r="A141" s="69"/>
      <c r="B141" s="72"/>
      <c r="C141" s="72"/>
      <c r="D141" s="66"/>
      <c r="E141" s="69"/>
      <c r="F141" s="69"/>
      <c r="G141" s="69"/>
      <c r="H141" s="69"/>
      <c r="I141" s="69"/>
    </row>
    <row r="142" spans="1:9">
      <c r="A142" s="69"/>
      <c r="B142" s="72"/>
      <c r="C142" s="72"/>
      <c r="D142" s="66"/>
      <c r="E142" s="69"/>
      <c r="F142" s="69"/>
      <c r="G142" s="69"/>
      <c r="H142" s="69"/>
      <c r="I142" s="69"/>
    </row>
    <row r="143" spans="1:9">
      <c r="A143" s="69"/>
      <c r="B143" s="72"/>
      <c r="C143" s="72"/>
      <c r="D143" s="66"/>
      <c r="E143" s="69"/>
      <c r="F143" s="69"/>
      <c r="G143" s="69"/>
      <c r="H143" s="69"/>
      <c r="I143" s="69"/>
    </row>
    <row r="144" spans="1:9">
      <c r="A144" s="69"/>
      <c r="B144" s="72"/>
      <c r="C144" s="72"/>
      <c r="D144" s="66"/>
      <c r="E144" s="69"/>
      <c r="F144" s="69"/>
      <c r="G144" s="69"/>
      <c r="H144" s="69"/>
      <c r="I144" s="69"/>
    </row>
    <row r="145" spans="1:9">
      <c r="A145" s="69"/>
      <c r="B145" s="72"/>
      <c r="C145" s="72"/>
      <c r="D145" s="66"/>
      <c r="E145" s="69"/>
      <c r="F145" s="69"/>
      <c r="G145" s="69"/>
      <c r="H145" s="69"/>
      <c r="I145" s="69"/>
    </row>
    <row r="146" spans="1:9">
      <c r="A146" s="69"/>
      <c r="B146" s="72"/>
      <c r="C146" s="72"/>
      <c r="D146" s="66"/>
      <c r="E146" s="69"/>
      <c r="F146" s="69"/>
      <c r="G146" s="69"/>
      <c r="H146" s="69"/>
      <c r="I146" s="69"/>
    </row>
  </sheetData>
  <mergeCells count="5">
    <mergeCell ref="A1:I1"/>
    <mergeCell ref="A3:I3"/>
    <mergeCell ref="A30:I30"/>
    <mergeCell ref="A83:I83"/>
    <mergeCell ref="A135:I135"/>
  </mergeCells>
  <pageMargins left="0.471527777777778" right="0.196527777777778" top="1" bottom="1" header="0.511805555555556" footer="0.511805555555556"/>
  <pageSetup paperSize="9" orientation="landscape"/>
  <headerFooter>
    <oddFooter>&amp;C第 &amp;P 页，共 &amp;N 页</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
  <sheetViews>
    <sheetView workbookViewId="0">
      <selection activeCell="K10" sqref="K10"/>
    </sheetView>
  </sheetViews>
  <sheetFormatPr defaultColWidth="9" defaultRowHeight="14.25" outlineLevelRow="7"/>
  <cols>
    <col min="1" max="1" width="5.875" style="7" customWidth="1"/>
    <col min="2" max="2" width="24" style="41" customWidth="1"/>
    <col min="3" max="3" width="9.625" style="17" customWidth="1"/>
    <col min="4" max="4" width="7" style="7" customWidth="1"/>
    <col min="5" max="6" width="14.25" style="7" customWidth="1"/>
    <col min="7" max="8" width="8.875" style="7" customWidth="1"/>
    <col min="9" max="9" width="12.25" style="7" customWidth="1"/>
    <col min="10" max="10" width="7.25" style="7" customWidth="1"/>
  </cols>
  <sheetData>
    <row r="1" ht="27" spans="1:13">
      <c r="A1" s="74" t="s">
        <v>839</v>
      </c>
      <c r="B1" s="164"/>
      <c r="C1" s="75"/>
      <c r="D1" s="74"/>
      <c r="E1" s="74"/>
      <c r="F1" s="74"/>
      <c r="G1" s="74"/>
      <c r="H1" s="74"/>
      <c r="I1" s="74"/>
      <c r="J1" s="74"/>
      <c r="K1" s="21"/>
      <c r="L1" s="21"/>
      <c r="M1" s="21"/>
    </row>
    <row r="2" ht="33.95" customHeight="1" spans="1:10">
      <c r="A2" s="2" t="s">
        <v>1</v>
      </c>
      <c r="B2" s="3" t="s">
        <v>2</v>
      </c>
      <c r="C2" s="22" t="s">
        <v>3</v>
      </c>
      <c r="D2" s="2" t="s">
        <v>4</v>
      </c>
      <c r="E2" s="2" t="s">
        <v>5</v>
      </c>
      <c r="F2" s="2" t="s">
        <v>6</v>
      </c>
      <c r="G2" s="3" t="s">
        <v>7</v>
      </c>
      <c r="H2" s="3" t="s">
        <v>60</v>
      </c>
      <c r="I2" s="2" t="s">
        <v>840</v>
      </c>
      <c r="J2" s="2" t="s">
        <v>12</v>
      </c>
    </row>
    <row r="3" spans="1:10">
      <c r="A3" s="2">
        <v>1</v>
      </c>
      <c r="B3" s="163">
        <v>3</v>
      </c>
      <c r="C3" s="19"/>
      <c r="D3" s="2"/>
      <c r="E3" s="3"/>
      <c r="F3" s="3"/>
      <c r="G3" s="2"/>
      <c r="H3" s="2"/>
      <c r="I3" s="2"/>
      <c r="J3" s="2"/>
    </row>
    <row r="4" ht="44.1" customHeight="1" spans="1:10">
      <c r="A4" s="2">
        <v>2</v>
      </c>
      <c r="B4" s="163" t="s">
        <v>841</v>
      </c>
      <c r="C4" s="19" t="s">
        <v>842</v>
      </c>
      <c r="D4" s="2"/>
      <c r="E4" s="3"/>
      <c r="F4" s="3"/>
      <c r="G4" s="2"/>
      <c r="H4" s="2"/>
      <c r="I4" s="2"/>
      <c r="J4" s="2"/>
    </row>
    <row r="5" ht="28.5" spans="1:10">
      <c r="A5" s="2">
        <v>3</v>
      </c>
      <c r="B5" s="163" t="s">
        <v>843</v>
      </c>
      <c r="C5" s="19"/>
      <c r="D5" s="2"/>
      <c r="E5" s="3"/>
      <c r="F5" s="3"/>
      <c r="G5" s="2"/>
      <c r="H5" s="2"/>
      <c r="I5" s="2"/>
      <c r="J5" s="2"/>
    </row>
    <row r="6" ht="42.75" spans="1:10">
      <c r="A6" s="2">
        <v>4</v>
      </c>
      <c r="B6" s="163" t="s">
        <v>844</v>
      </c>
      <c r="C6" s="19"/>
      <c r="D6" s="2"/>
      <c r="E6" s="3"/>
      <c r="F6" s="3"/>
      <c r="G6" s="2"/>
      <c r="H6" s="2"/>
      <c r="I6" s="2"/>
      <c r="J6" s="2"/>
    </row>
    <row r="7" ht="42.75" spans="1:10">
      <c r="A7" s="2">
        <v>5</v>
      </c>
      <c r="B7" s="163" t="s">
        <v>845</v>
      </c>
      <c r="C7" s="19"/>
      <c r="D7" s="2"/>
      <c r="E7" s="3"/>
      <c r="F7" s="3"/>
      <c r="G7" s="2"/>
      <c r="H7" s="2"/>
      <c r="I7" s="2"/>
      <c r="J7" s="2"/>
    </row>
    <row r="8" ht="28.5" spans="1:10">
      <c r="A8" s="2">
        <v>6</v>
      </c>
      <c r="B8" s="163" t="s">
        <v>846</v>
      </c>
      <c r="C8" s="19"/>
      <c r="D8" s="2"/>
      <c r="E8" s="2" t="s">
        <v>847</v>
      </c>
      <c r="F8" s="2" t="s">
        <v>848</v>
      </c>
      <c r="G8" s="2"/>
      <c r="H8" s="2"/>
      <c r="I8" s="2" t="s">
        <v>393</v>
      </c>
      <c r="J8" s="2"/>
    </row>
  </sheetData>
  <mergeCells count="1">
    <mergeCell ref="A1:J1"/>
  </mergeCells>
  <pageMargins left="0.751388888888889" right="0.751388888888889" top="1" bottom="1" header="0.511805555555556" footer="0.511805555555556"/>
  <pageSetup paperSize="9" orientation="landscape"/>
  <headerFooter>
    <oddFooter>&amp;C第 &amp;P 页，共 &amp;N 页</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
  <sheetViews>
    <sheetView workbookViewId="0">
      <selection activeCell="E6" sqref="E6"/>
    </sheetView>
  </sheetViews>
  <sheetFormatPr defaultColWidth="9" defaultRowHeight="14.25"/>
  <cols>
    <col min="1" max="1" width="5.875" style="7" customWidth="1"/>
    <col min="2" max="2" width="39.125" style="41" customWidth="1"/>
    <col min="3" max="3" width="9.625" style="17" customWidth="1"/>
    <col min="4" max="4" width="7" style="7" customWidth="1"/>
    <col min="5" max="5" width="22.125" style="7" customWidth="1"/>
    <col min="6" max="6" width="14.25" style="7" customWidth="1"/>
    <col min="7" max="7" width="12.25" style="7" customWidth="1"/>
    <col min="8" max="8" width="7.25" style="7" customWidth="1"/>
  </cols>
  <sheetData>
    <row r="1" ht="27" spans="1:11">
      <c r="A1" s="92" t="s">
        <v>849</v>
      </c>
      <c r="B1" s="92"/>
      <c r="C1" s="92"/>
      <c r="D1" s="92"/>
      <c r="E1" s="92"/>
      <c r="F1" s="92"/>
      <c r="G1" s="92"/>
      <c r="H1" s="92"/>
      <c r="I1" s="21"/>
      <c r="J1" s="21"/>
      <c r="K1" s="21"/>
    </row>
    <row r="2" ht="33.95" customHeight="1" spans="1:8">
      <c r="A2" s="2" t="s">
        <v>1</v>
      </c>
      <c r="B2" s="3" t="s">
        <v>2</v>
      </c>
      <c r="C2" s="22" t="s">
        <v>3</v>
      </c>
      <c r="D2" s="2" t="s">
        <v>4</v>
      </c>
      <c r="E2" s="2" t="s">
        <v>5</v>
      </c>
      <c r="F2" s="2" t="s">
        <v>6</v>
      </c>
      <c r="G2" s="2" t="s">
        <v>850</v>
      </c>
      <c r="H2" s="2" t="s">
        <v>12</v>
      </c>
    </row>
    <row r="3" spans="1:8">
      <c r="A3" s="2">
        <v>1</v>
      </c>
      <c r="B3" s="3" t="s">
        <v>851</v>
      </c>
      <c r="C3" s="19"/>
      <c r="D3" s="2">
        <v>1</v>
      </c>
      <c r="E3" s="3"/>
      <c r="F3" s="3"/>
      <c r="G3" s="2"/>
      <c r="H3" s="2"/>
    </row>
    <row r="4" ht="44.1" customHeight="1" spans="1:8">
      <c r="A4" s="2">
        <v>2</v>
      </c>
      <c r="B4" s="163" t="s">
        <v>852</v>
      </c>
      <c r="C4" s="19"/>
      <c r="D4" s="2">
        <v>1</v>
      </c>
      <c r="E4" s="3"/>
      <c r="F4" s="3"/>
      <c r="G4" s="2"/>
      <c r="H4" s="2"/>
    </row>
    <row r="5" ht="78" customHeight="1" spans="1:8">
      <c r="A5" s="2">
        <v>3</v>
      </c>
      <c r="B5" s="163" t="s">
        <v>853</v>
      </c>
      <c r="C5" s="19"/>
      <c r="D5" s="2">
        <v>1</v>
      </c>
      <c r="E5" s="3"/>
      <c r="F5" s="3"/>
      <c r="G5" s="2"/>
      <c r="H5" s="2"/>
    </row>
    <row r="6" ht="44.1" customHeight="1" spans="1:8">
      <c r="A6" s="2">
        <v>4</v>
      </c>
      <c r="B6" s="163" t="s">
        <v>854</v>
      </c>
      <c r="C6" s="19"/>
      <c r="D6" s="2">
        <v>1</v>
      </c>
      <c r="E6" s="3"/>
      <c r="F6" s="3"/>
      <c r="G6" s="2"/>
      <c r="H6" s="2"/>
    </row>
    <row r="7" spans="1:8">
      <c r="A7" s="2">
        <v>5</v>
      </c>
      <c r="B7" s="163" t="s">
        <v>855</v>
      </c>
      <c r="C7" s="19"/>
      <c r="D7" s="2">
        <v>1</v>
      </c>
      <c r="E7" s="3"/>
      <c r="F7" s="3"/>
      <c r="G7" s="2"/>
      <c r="H7" s="2"/>
    </row>
    <row r="8" ht="28.5" spans="1:8">
      <c r="A8" s="2">
        <v>6</v>
      </c>
      <c r="B8" s="163" t="s">
        <v>856</v>
      </c>
      <c r="C8" s="19"/>
      <c r="D8" s="2">
        <v>1</v>
      </c>
      <c r="E8" s="3"/>
      <c r="F8" s="3"/>
      <c r="G8" s="2"/>
      <c r="H8" s="2"/>
    </row>
    <row r="9" spans="1:8">
      <c r="A9" s="2">
        <v>7</v>
      </c>
      <c r="B9" s="163"/>
      <c r="C9" s="19"/>
      <c r="D9" s="2"/>
      <c r="E9" s="3"/>
      <c r="F9" s="3"/>
      <c r="G9" s="2"/>
      <c r="H9" s="2"/>
    </row>
    <row r="10" spans="1:8">
      <c r="A10" s="2">
        <v>8</v>
      </c>
      <c r="B10" s="163"/>
      <c r="C10" s="19"/>
      <c r="D10" s="2"/>
      <c r="E10" s="2"/>
      <c r="F10" s="2"/>
      <c r="G10" s="2"/>
      <c r="H10" s="2"/>
    </row>
  </sheetData>
  <mergeCells count="1">
    <mergeCell ref="A1:H1"/>
  </mergeCells>
  <pageMargins left="0.751388888888889" right="0.751388888888889" top="1" bottom="1" header="0.511805555555556" footer="0.511805555555556"/>
  <pageSetup paperSize="9" orientation="landscape"/>
  <headerFooter>
    <oddFooter>&amp;C第 &amp;P 页，共 &amp;N 页</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7"/>
  <sheetViews>
    <sheetView workbookViewId="0">
      <pane ySplit="2" topLeftCell="A12" activePane="bottomLeft" state="frozen"/>
      <selection/>
      <selection pane="bottomLeft" activeCell="J20" sqref="J19:J20"/>
    </sheetView>
  </sheetViews>
  <sheetFormatPr defaultColWidth="9" defaultRowHeight="14.25"/>
  <cols>
    <col min="1" max="1" width="7.125" customWidth="1"/>
    <col min="2" max="2" width="31.75" style="7" customWidth="1"/>
    <col min="3" max="3" width="9" style="7"/>
    <col min="4" max="4" width="7.125" style="7" customWidth="1"/>
    <col min="5" max="6" width="9" style="7"/>
    <col min="7" max="7" width="5.875" style="7" customWidth="1"/>
    <col min="8" max="8" width="12.25" style="7" customWidth="1"/>
    <col min="9" max="9" width="9" style="7"/>
    <col min="10" max="10" width="12.125" style="7" customWidth="1"/>
    <col min="11" max="11" width="9" style="7"/>
  </cols>
  <sheetData>
    <row r="1" ht="27" spans="1:11">
      <c r="A1" s="74" t="s">
        <v>857</v>
      </c>
      <c r="B1" s="75"/>
      <c r="C1" s="75"/>
      <c r="D1" s="75"/>
      <c r="E1" s="75"/>
      <c r="F1" s="75"/>
      <c r="G1" s="75"/>
      <c r="H1" s="74"/>
      <c r="I1" s="74"/>
      <c r="J1" s="74"/>
      <c r="K1" s="74"/>
    </row>
    <row r="2" ht="42.75" spans="1:11">
      <c r="A2" s="27" t="s">
        <v>1</v>
      </c>
      <c r="B2" s="99" t="s">
        <v>2</v>
      </c>
      <c r="C2" s="162" t="s">
        <v>3</v>
      </c>
      <c r="D2" s="99" t="s">
        <v>4</v>
      </c>
      <c r="E2" s="99" t="s">
        <v>5</v>
      </c>
      <c r="F2" s="99" t="s">
        <v>6</v>
      </c>
      <c r="G2" s="99" t="s">
        <v>858</v>
      </c>
      <c r="H2" s="99" t="s">
        <v>7</v>
      </c>
      <c r="I2" s="99" t="s">
        <v>60</v>
      </c>
      <c r="J2" s="27" t="s">
        <v>840</v>
      </c>
      <c r="K2" s="27" t="s">
        <v>12</v>
      </c>
    </row>
    <row r="3" ht="28.5" spans="1:11">
      <c r="A3" s="2">
        <v>1</v>
      </c>
      <c r="B3" s="3" t="s">
        <v>859</v>
      </c>
      <c r="C3" s="19" t="s">
        <v>860</v>
      </c>
      <c r="D3" s="2">
        <v>1</v>
      </c>
      <c r="E3" s="3" t="s">
        <v>284</v>
      </c>
      <c r="F3" s="3" t="s">
        <v>336</v>
      </c>
      <c r="G3" s="3"/>
      <c r="H3" s="2"/>
      <c r="I3" s="2"/>
      <c r="J3" s="2" t="s">
        <v>861</v>
      </c>
      <c r="K3" s="2"/>
    </row>
    <row r="4" ht="28.5" spans="1:11">
      <c r="A4" s="27">
        <v>3</v>
      </c>
      <c r="B4" s="99" t="s">
        <v>862</v>
      </c>
      <c r="C4" s="100" t="s">
        <v>863</v>
      </c>
      <c r="D4" s="27">
        <v>1</v>
      </c>
      <c r="E4" s="99" t="s">
        <v>284</v>
      </c>
      <c r="F4" s="99" t="s">
        <v>336</v>
      </c>
      <c r="G4" s="99"/>
      <c r="H4" s="27"/>
      <c r="I4" s="27"/>
      <c r="J4" s="27" t="s">
        <v>366</v>
      </c>
      <c r="K4" s="27"/>
    </row>
    <row r="5" ht="42" customHeight="1" spans="1:11">
      <c r="A5" s="2">
        <v>8</v>
      </c>
      <c r="B5" s="33" t="s">
        <v>864</v>
      </c>
      <c r="C5" s="2">
        <v>9</v>
      </c>
      <c r="D5" s="2">
        <v>1</v>
      </c>
      <c r="E5" s="3" t="s">
        <v>284</v>
      </c>
      <c r="F5" s="3" t="s">
        <v>336</v>
      </c>
      <c r="G5" s="2"/>
      <c r="H5" s="2"/>
      <c r="I5" s="2"/>
      <c r="J5" s="2" t="s">
        <v>865</v>
      </c>
      <c r="K5" s="2"/>
    </row>
    <row r="6" ht="42.75" customHeight="1" spans="1:11">
      <c r="A6" s="2">
        <v>9</v>
      </c>
      <c r="B6" s="33" t="s">
        <v>866</v>
      </c>
      <c r="C6" s="80" t="s">
        <v>867</v>
      </c>
      <c r="D6" s="2">
        <v>1</v>
      </c>
      <c r="E6" s="3" t="s">
        <v>284</v>
      </c>
      <c r="F6" s="3" t="s">
        <v>336</v>
      </c>
      <c r="G6" s="2"/>
      <c r="H6" s="2"/>
      <c r="I6" s="2"/>
      <c r="J6" s="6" t="s">
        <v>868</v>
      </c>
      <c r="K6" s="2"/>
    </row>
    <row r="7" ht="52.5" customHeight="1" spans="1:11">
      <c r="A7" s="2">
        <v>11</v>
      </c>
      <c r="B7" s="33" t="s">
        <v>869</v>
      </c>
      <c r="C7" s="80" t="s">
        <v>870</v>
      </c>
      <c r="D7" s="2">
        <v>1</v>
      </c>
      <c r="E7" s="3" t="s">
        <v>284</v>
      </c>
      <c r="F7" s="3" t="s">
        <v>336</v>
      </c>
      <c r="G7" s="2"/>
      <c r="H7" s="2"/>
      <c r="I7" s="2"/>
      <c r="J7" s="6" t="s">
        <v>871</v>
      </c>
      <c r="K7" s="2"/>
    </row>
    <row r="8" ht="32.1" customHeight="1" spans="1:11">
      <c r="A8" s="2">
        <v>13</v>
      </c>
      <c r="B8" s="33" t="s">
        <v>872</v>
      </c>
      <c r="C8" s="80" t="s">
        <v>873</v>
      </c>
      <c r="D8" s="2">
        <v>1</v>
      </c>
      <c r="E8" s="3" t="s">
        <v>284</v>
      </c>
      <c r="F8" s="3" t="s">
        <v>336</v>
      </c>
      <c r="G8" s="2"/>
      <c r="H8" s="2" t="s">
        <v>17</v>
      </c>
      <c r="I8" s="2"/>
      <c r="J8" s="6" t="s">
        <v>874</v>
      </c>
      <c r="K8" s="2"/>
    </row>
    <row r="9" ht="32.1" customHeight="1" spans="1:11">
      <c r="A9" s="8" t="s">
        <v>171</v>
      </c>
      <c r="B9" s="9"/>
      <c r="C9" s="9"/>
      <c r="D9" s="9"/>
      <c r="E9" s="9"/>
      <c r="F9" s="9"/>
      <c r="G9" s="9"/>
      <c r="H9" s="9"/>
      <c r="I9" s="9"/>
      <c r="J9" s="9"/>
      <c r="K9" s="12"/>
    </row>
    <row r="10" ht="31" customHeight="1" spans="1:11">
      <c r="A10" s="2">
        <v>1</v>
      </c>
      <c r="B10" s="3" t="s">
        <v>875</v>
      </c>
      <c r="C10" s="2" t="s">
        <v>876</v>
      </c>
      <c r="D10" s="2">
        <v>1</v>
      </c>
      <c r="E10" s="3" t="s">
        <v>284</v>
      </c>
      <c r="F10" s="3" t="s">
        <v>336</v>
      </c>
      <c r="G10" s="2"/>
      <c r="H10" s="2"/>
      <c r="I10" s="2"/>
      <c r="J10" s="2" t="s">
        <v>393</v>
      </c>
      <c r="K10" s="2"/>
    </row>
    <row r="11" ht="31" customHeight="1" spans="1:11">
      <c r="A11" s="2">
        <v>2</v>
      </c>
      <c r="B11" s="3" t="s">
        <v>877</v>
      </c>
      <c r="C11" s="2" t="s">
        <v>878</v>
      </c>
      <c r="D11" s="2">
        <v>1</v>
      </c>
      <c r="E11" s="3" t="s">
        <v>284</v>
      </c>
      <c r="F11" s="3" t="s">
        <v>336</v>
      </c>
      <c r="G11" s="2"/>
      <c r="H11" s="2"/>
      <c r="I11" s="2"/>
      <c r="J11" s="2"/>
      <c r="K11" s="2"/>
    </row>
    <row r="12" ht="31" customHeight="1" spans="1:11">
      <c r="A12" s="2">
        <v>3</v>
      </c>
      <c r="B12" s="3" t="s">
        <v>879</v>
      </c>
      <c r="C12" s="2" t="s">
        <v>880</v>
      </c>
      <c r="D12" s="2">
        <v>1</v>
      </c>
      <c r="E12" s="3" t="s">
        <v>284</v>
      </c>
      <c r="F12" s="3" t="s">
        <v>336</v>
      </c>
      <c r="G12" s="2"/>
      <c r="H12" s="2"/>
      <c r="I12" s="2"/>
      <c r="J12" s="2" t="s">
        <v>409</v>
      </c>
      <c r="K12" s="2"/>
    </row>
    <row r="13" ht="28" customHeight="1" spans="1:11">
      <c r="A13" s="2">
        <v>4</v>
      </c>
      <c r="B13" s="3" t="s">
        <v>881</v>
      </c>
      <c r="C13" s="2" t="s">
        <v>882</v>
      </c>
      <c r="D13" s="2">
        <v>1</v>
      </c>
      <c r="E13" s="3" t="s">
        <v>284</v>
      </c>
      <c r="F13" s="3" t="s">
        <v>336</v>
      </c>
      <c r="G13" s="2"/>
      <c r="H13" s="2"/>
      <c r="I13" s="2"/>
      <c r="J13" s="2" t="s">
        <v>883</v>
      </c>
      <c r="K13" s="2"/>
    </row>
    <row r="14" ht="28" customHeight="1" spans="1:11">
      <c r="A14" s="2">
        <v>5</v>
      </c>
      <c r="B14" s="3" t="s">
        <v>884</v>
      </c>
      <c r="C14" s="2" t="s">
        <v>885</v>
      </c>
      <c r="D14" s="2">
        <v>1</v>
      </c>
      <c r="E14" s="3" t="s">
        <v>284</v>
      </c>
      <c r="F14" s="3" t="s">
        <v>336</v>
      </c>
      <c r="G14" s="2"/>
      <c r="H14" s="2"/>
      <c r="I14" s="2"/>
      <c r="J14" s="2" t="s">
        <v>816</v>
      </c>
      <c r="K14" s="2"/>
    </row>
    <row r="15" ht="28" customHeight="1" spans="1:11">
      <c r="A15" s="13"/>
      <c r="B15" s="3" t="s">
        <v>886</v>
      </c>
      <c r="C15" s="2" t="s">
        <v>887</v>
      </c>
      <c r="D15" s="2">
        <v>1</v>
      </c>
      <c r="E15" s="3" t="s">
        <v>284</v>
      </c>
      <c r="F15" s="3" t="s">
        <v>336</v>
      </c>
      <c r="G15" s="2"/>
      <c r="H15" s="2"/>
      <c r="I15" s="2"/>
      <c r="J15" s="2" t="s">
        <v>455</v>
      </c>
      <c r="K15" s="2"/>
    </row>
    <row r="16" ht="28" customHeight="1" spans="1:11">
      <c r="A16" s="13"/>
      <c r="B16" s="3" t="s">
        <v>888</v>
      </c>
      <c r="C16" s="2" t="s">
        <v>889</v>
      </c>
      <c r="D16" s="2">
        <v>1</v>
      </c>
      <c r="E16" s="3" t="s">
        <v>284</v>
      </c>
      <c r="F16" s="3" t="s">
        <v>336</v>
      </c>
      <c r="G16" s="2"/>
      <c r="H16" s="2"/>
      <c r="I16" s="2"/>
      <c r="J16" s="2" t="s">
        <v>890</v>
      </c>
      <c r="K16" s="2"/>
    </row>
    <row r="17" ht="28" customHeight="1" spans="1:11">
      <c r="A17" s="13"/>
      <c r="B17" s="3" t="s">
        <v>891</v>
      </c>
      <c r="C17" s="2" t="s">
        <v>892</v>
      </c>
      <c r="D17" s="2">
        <v>1</v>
      </c>
      <c r="E17" s="3" t="s">
        <v>284</v>
      </c>
      <c r="F17" s="3" t="s">
        <v>336</v>
      </c>
      <c r="G17" s="2"/>
      <c r="H17" s="2"/>
      <c r="I17" s="2"/>
      <c r="J17" s="2" t="s">
        <v>890</v>
      </c>
      <c r="K17" s="2"/>
    </row>
    <row r="18" ht="28" customHeight="1" spans="1:11">
      <c r="A18" s="13"/>
      <c r="B18" s="3" t="s">
        <v>893</v>
      </c>
      <c r="C18" s="2" t="s">
        <v>894</v>
      </c>
      <c r="D18" s="2">
        <v>1</v>
      </c>
      <c r="E18" s="3" t="s">
        <v>284</v>
      </c>
      <c r="F18" s="3" t="s">
        <v>336</v>
      </c>
      <c r="G18" s="2"/>
      <c r="H18" s="2"/>
      <c r="I18" s="2"/>
      <c r="J18" s="2" t="s">
        <v>211</v>
      </c>
      <c r="K18" s="2"/>
    </row>
    <row r="19" ht="28" customHeight="1" spans="1:11">
      <c r="A19" s="13"/>
      <c r="B19" s="2"/>
      <c r="C19" s="2"/>
      <c r="D19" s="2">
        <v>1</v>
      </c>
      <c r="E19" s="2"/>
      <c r="F19" s="2"/>
      <c r="G19" s="2"/>
      <c r="H19" s="2"/>
      <c r="I19" s="2"/>
      <c r="J19" s="2"/>
      <c r="K19" s="2"/>
    </row>
    <row r="20" ht="28" customHeight="1" spans="1:11">
      <c r="A20" s="13"/>
      <c r="B20" s="2"/>
      <c r="C20" s="2"/>
      <c r="D20" s="2"/>
      <c r="E20" s="2"/>
      <c r="F20" s="2"/>
      <c r="G20" s="2"/>
      <c r="H20" s="2"/>
      <c r="I20" s="2"/>
      <c r="J20" s="2"/>
      <c r="K20" s="2"/>
    </row>
    <row r="21" ht="28" customHeight="1" spans="1:11">
      <c r="A21" s="13"/>
      <c r="B21" s="2"/>
      <c r="C21" s="2"/>
      <c r="D21" s="2"/>
      <c r="E21" s="2"/>
      <c r="F21" s="2"/>
      <c r="G21" s="2"/>
      <c r="H21" s="2"/>
      <c r="I21" s="2"/>
      <c r="J21" s="2"/>
      <c r="K21" s="2"/>
    </row>
    <row r="22" ht="28" customHeight="1" spans="1:11">
      <c r="A22" s="13"/>
      <c r="B22" s="2"/>
      <c r="C22" s="2"/>
      <c r="D22" s="2"/>
      <c r="E22" s="2"/>
      <c r="F22" s="2"/>
      <c r="G22" s="2"/>
      <c r="H22" s="2"/>
      <c r="I22" s="2"/>
      <c r="J22" s="2"/>
      <c r="K22" s="2"/>
    </row>
    <row r="23" ht="28" customHeight="1" spans="1:11">
      <c r="A23" s="13"/>
      <c r="B23" s="2"/>
      <c r="C23" s="2"/>
      <c r="D23" s="2"/>
      <c r="E23" s="2"/>
      <c r="F23" s="2"/>
      <c r="G23" s="2"/>
      <c r="H23" s="2"/>
      <c r="I23" s="2"/>
      <c r="J23" s="2"/>
      <c r="K23" s="2"/>
    </row>
    <row r="24" ht="28" customHeight="1" spans="1:11">
      <c r="A24" s="13"/>
      <c r="B24" s="2"/>
      <c r="C24" s="2"/>
      <c r="D24" s="2"/>
      <c r="E24" s="2"/>
      <c r="F24" s="2"/>
      <c r="G24" s="2"/>
      <c r="H24" s="2"/>
      <c r="I24" s="2"/>
      <c r="J24" s="2"/>
      <c r="K24" s="2"/>
    </row>
    <row r="25" ht="28" customHeight="1" spans="1:11">
      <c r="A25" s="13"/>
      <c r="B25" s="2"/>
      <c r="C25" s="2"/>
      <c r="D25" s="2"/>
      <c r="E25" s="2"/>
      <c r="F25" s="2"/>
      <c r="G25" s="2"/>
      <c r="H25" s="2"/>
      <c r="I25" s="2"/>
      <c r="J25" s="2"/>
      <c r="K25" s="2"/>
    </row>
    <row r="26" ht="28" customHeight="1" spans="1:11">
      <c r="A26" s="13"/>
      <c r="B26" s="2"/>
      <c r="C26" s="2"/>
      <c r="D26" s="2"/>
      <c r="E26" s="2"/>
      <c r="F26" s="2"/>
      <c r="G26" s="2"/>
      <c r="H26" s="2"/>
      <c r="I26" s="2"/>
      <c r="J26" s="2"/>
      <c r="K26" s="2"/>
    </row>
    <row r="27" ht="28" customHeight="1" spans="1:11">
      <c r="A27" s="13"/>
      <c r="B27" s="2"/>
      <c r="C27" s="2"/>
      <c r="D27" s="2"/>
      <c r="E27" s="2"/>
      <c r="F27" s="2"/>
      <c r="G27" s="2"/>
      <c r="H27" s="2"/>
      <c r="I27" s="2"/>
      <c r="J27" s="2"/>
      <c r="K27" s="2"/>
    </row>
  </sheetData>
  <mergeCells count="2">
    <mergeCell ref="A1:K1"/>
    <mergeCell ref="A9:K9"/>
  </mergeCells>
  <pageMargins left="0.751388888888889" right="0.751388888888889" top="1" bottom="1" header="0.511805555555556" footer="0.511805555555556"/>
  <pageSetup paperSize="9" orientation="landscape" horizontalDpi="600"/>
  <headerFooter>
    <oddFooter>&amp;C第 &amp;P 页，共 &amp;N 页</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9"/>
  <sheetViews>
    <sheetView topLeftCell="A37" workbookViewId="0">
      <selection activeCell="B43" sqref="B43"/>
    </sheetView>
  </sheetViews>
  <sheetFormatPr defaultColWidth="9" defaultRowHeight="14.25"/>
  <cols>
    <col min="1" max="1" width="9" style="7"/>
    <col min="2" max="2" width="29.25" style="7" customWidth="1"/>
    <col min="3" max="3" width="11.625" style="7" customWidth="1"/>
    <col min="4" max="4" width="9" style="7"/>
    <col min="5" max="7" width="9" style="16"/>
    <col min="8" max="8" width="9" style="7"/>
    <col min="9" max="9" width="12.5" style="7" customWidth="1"/>
    <col min="10" max="10" width="7.25" style="7" customWidth="1"/>
  </cols>
  <sheetData>
    <row r="1" ht="27" spans="1:10">
      <c r="A1" s="74" t="s">
        <v>895</v>
      </c>
      <c r="B1" s="75"/>
      <c r="C1" s="75"/>
      <c r="D1" s="75"/>
      <c r="E1" s="75"/>
      <c r="F1" s="75"/>
      <c r="G1" s="75"/>
      <c r="H1" s="74"/>
      <c r="I1" s="74"/>
      <c r="J1" s="74"/>
    </row>
    <row r="2" ht="28.5" spans="1:10">
      <c r="A2" s="2" t="s">
        <v>1</v>
      </c>
      <c r="B2" s="3" t="s">
        <v>2</v>
      </c>
      <c r="C2" s="22" t="s">
        <v>3</v>
      </c>
      <c r="D2" s="3" t="s">
        <v>4</v>
      </c>
      <c r="E2" s="3" t="s">
        <v>5</v>
      </c>
      <c r="F2" s="3" t="s">
        <v>6</v>
      </c>
      <c r="G2" s="3" t="s">
        <v>858</v>
      </c>
      <c r="H2" s="3" t="s">
        <v>7</v>
      </c>
      <c r="I2" s="3" t="s">
        <v>896</v>
      </c>
      <c r="J2" s="2" t="s">
        <v>12</v>
      </c>
    </row>
    <row r="3" ht="32.1" customHeight="1" spans="1:10">
      <c r="A3" s="2">
        <v>1</v>
      </c>
      <c r="B3" s="3" t="s">
        <v>897</v>
      </c>
      <c r="C3" s="2">
        <v>6</v>
      </c>
      <c r="D3" s="2">
        <v>1</v>
      </c>
      <c r="E3" s="3" t="s">
        <v>284</v>
      </c>
      <c r="F3" s="3" t="s">
        <v>336</v>
      </c>
      <c r="G3" s="3"/>
      <c r="H3" s="2"/>
      <c r="I3" s="2" t="s">
        <v>898</v>
      </c>
      <c r="J3" s="2"/>
    </row>
    <row r="4" ht="32.1" customHeight="1" spans="1:10">
      <c r="A4" s="2">
        <v>2</v>
      </c>
      <c r="B4" s="3" t="s">
        <v>899</v>
      </c>
      <c r="C4" s="2">
        <v>7</v>
      </c>
      <c r="D4" s="2">
        <v>1</v>
      </c>
      <c r="E4" s="3" t="s">
        <v>284</v>
      </c>
      <c r="F4" s="3" t="s">
        <v>336</v>
      </c>
      <c r="G4" s="2" t="s">
        <v>286</v>
      </c>
      <c r="H4" s="2" t="s">
        <v>150</v>
      </c>
      <c r="I4" s="2" t="s">
        <v>900</v>
      </c>
      <c r="J4" s="2"/>
    </row>
    <row r="5" ht="32.1" customHeight="1" spans="1:10">
      <c r="A5" s="2">
        <v>3</v>
      </c>
      <c r="B5" s="3" t="s">
        <v>901</v>
      </c>
      <c r="C5" s="2">
        <v>12</v>
      </c>
      <c r="D5" s="2">
        <v>2</v>
      </c>
      <c r="E5" s="3" t="s">
        <v>284</v>
      </c>
      <c r="F5" s="3" t="s">
        <v>336</v>
      </c>
      <c r="G5" s="2" t="s">
        <v>286</v>
      </c>
      <c r="H5" s="2" t="s">
        <v>150</v>
      </c>
      <c r="I5" s="2" t="s">
        <v>902</v>
      </c>
      <c r="J5" s="2"/>
    </row>
    <row r="6" ht="32.1" customHeight="1" spans="1:10">
      <c r="A6" s="2">
        <v>4</v>
      </c>
      <c r="B6" s="3" t="s">
        <v>903</v>
      </c>
      <c r="C6" s="2">
        <v>13</v>
      </c>
      <c r="D6" s="2">
        <v>1</v>
      </c>
      <c r="E6" s="3" t="s">
        <v>284</v>
      </c>
      <c r="F6" s="3" t="s">
        <v>336</v>
      </c>
      <c r="G6" s="2" t="s">
        <v>286</v>
      </c>
      <c r="H6" s="2" t="s">
        <v>150</v>
      </c>
      <c r="I6" s="2" t="s">
        <v>904</v>
      </c>
      <c r="J6" s="2"/>
    </row>
    <row r="7" ht="32.1" customHeight="1" spans="1:10">
      <c r="A7" s="2">
        <v>5</v>
      </c>
      <c r="B7" s="3" t="s">
        <v>905</v>
      </c>
      <c r="C7" s="2">
        <v>14</v>
      </c>
      <c r="D7" s="2">
        <v>1</v>
      </c>
      <c r="E7" s="3" t="s">
        <v>284</v>
      </c>
      <c r="F7" s="3" t="s">
        <v>336</v>
      </c>
      <c r="G7" s="2" t="s">
        <v>286</v>
      </c>
      <c r="H7" s="2" t="s">
        <v>150</v>
      </c>
      <c r="I7" s="2" t="s">
        <v>906</v>
      </c>
      <c r="J7" s="2"/>
    </row>
    <row r="8" ht="32.1" customHeight="1" spans="1:10">
      <c r="A8" s="2">
        <v>6</v>
      </c>
      <c r="B8" s="3" t="s">
        <v>907</v>
      </c>
      <c r="C8" s="2">
        <v>15</v>
      </c>
      <c r="D8" s="2">
        <v>1</v>
      </c>
      <c r="E8" s="3" t="s">
        <v>284</v>
      </c>
      <c r="F8" s="3" t="s">
        <v>336</v>
      </c>
      <c r="G8" s="2" t="s">
        <v>286</v>
      </c>
      <c r="H8" s="2" t="s">
        <v>150</v>
      </c>
      <c r="I8" s="2" t="s">
        <v>908</v>
      </c>
      <c r="J8" s="2"/>
    </row>
    <row r="9" ht="32.1" customHeight="1" spans="1:10">
      <c r="A9" s="2">
        <v>7</v>
      </c>
      <c r="B9" s="3" t="s">
        <v>909</v>
      </c>
      <c r="C9" s="2">
        <v>16</v>
      </c>
      <c r="D9" s="2">
        <v>1</v>
      </c>
      <c r="E9" s="3" t="s">
        <v>284</v>
      </c>
      <c r="F9" s="3" t="s">
        <v>336</v>
      </c>
      <c r="G9" s="2" t="s">
        <v>286</v>
      </c>
      <c r="H9" s="2" t="s">
        <v>150</v>
      </c>
      <c r="I9" s="2" t="s">
        <v>910</v>
      </c>
      <c r="J9" s="2"/>
    </row>
    <row r="10" ht="32.1" customHeight="1" spans="1:10">
      <c r="A10" s="2">
        <v>8</v>
      </c>
      <c r="B10" s="3" t="s">
        <v>911</v>
      </c>
      <c r="C10" s="2">
        <v>17</v>
      </c>
      <c r="D10" s="2">
        <v>1</v>
      </c>
      <c r="E10" s="3" t="s">
        <v>284</v>
      </c>
      <c r="F10" s="3" t="s">
        <v>336</v>
      </c>
      <c r="G10" s="2" t="s">
        <v>286</v>
      </c>
      <c r="H10" s="2" t="s">
        <v>150</v>
      </c>
      <c r="I10" s="2" t="s">
        <v>912</v>
      </c>
      <c r="J10" s="2"/>
    </row>
    <row r="11" ht="32.1" customHeight="1" spans="1:10">
      <c r="A11" s="2">
        <v>9</v>
      </c>
      <c r="B11" s="3" t="s">
        <v>913</v>
      </c>
      <c r="C11" s="2">
        <v>18</v>
      </c>
      <c r="D11" s="2">
        <v>2</v>
      </c>
      <c r="E11" s="3" t="s">
        <v>284</v>
      </c>
      <c r="F11" s="3" t="s">
        <v>336</v>
      </c>
      <c r="G11" s="2" t="s">
        <v>286</v>
      </c>
      <c r="H11" s="2" t="s">
        <v>150</v>
      </c>
      <c r="I11" s="2" t="s">
        <v>914</v>
      </c>
      <c r="J11" s="2"/>
    </row>
    <row r="12" ht="32.1" customHeight="1" spans="1:10">
      <c r="A12" s="2">
        <v>10</v>
      </c>
      <c r="B12" s="3" t="s">
        <v>915</v>
      </c>
      <c r="C12" s="2">
        <v>19</v>
      </c>
      <c r="D12" s="2">
        <v>1</v>
      </c>
      <c r="E12" s="3" t="s">
        <v>284</v>
      </c>
      <c r="F12" s="3" t="s">
        <v>336</v>
      </c>
      <c r="G12" s="2" t="s">
        <v>286</v>
      </c>
      <c r="H12" s="2" t="s">
        <v>150</v>
      </c>
      <c r="I12" s="2" t="s">
        <v>916</v>
      </c>
      <c r="J12" s="2"/>
    </row>
    <row r="13" ht="32.1" customHeight="1" spans="1:10">
      <c r="A13" s="2">
        <v>11</v>
      </c>
      <c r="B13" s="3" t="s">
        <v>917</v>
      </c>
      <c r="C13" s="2">
        <v>20</v>
      </c>
      <c r="D13" s="2">
        <v>1</v>
      </c>
      <c r="E13" s="3" t="s">
        <v>284</v>
      </c>
      <c r="F13" s="3" t="s">
        <v>336</v>
      </c>
      <c r="G13" s="2" t="s">
        <v>286</v>
      </c>
      <c r="H13" s="2" t="s">
        <v>150</v>
      </c>
      <c r="I13" s="2" t="s">
        <v>918</v>
      </c>
      <c r="J13" s="2"/>
    </row>
    <row r="14" ht="32.1" customHeight="1" spans="1:10">
      <c r="A14" s="2">
        <v>12</v>
      </c>
      <c r="B14" s="3" t="s">
        <v>919</v>
      </c>
      <c r="C14" s="2">
        <v>21</v>
      </c>
      <c r="D14" s="2">
        <v>1</v>
      </c>
      <c r="E14" s="3" t="s">
        <v>284</v>
      </c>
      <c r="F14" s="3" t="s">
        <v>336</v>
      </c>
      <c r="G14" s="2" t="s">
        <v>286</v>
      </c>
      <c r="H14" s="2" t="s">
        <v>150</v>
      </c>
      <c r="I14" s="2" t="s">
        <v>920</v>
      </c>
      <c r="J14" s="2"/>
    </row>
    <row r="15" ht="32.1" customHeight="1" spans="1:10">
      <c r="A15" s="2">
        <v>13</v>
      </c>
      <c r="B15" s="3" t="s">
        <v>921</v>
      </c>
      <c r="C15" s="2">
        <v>22</v>
      </c>
      <c r="D15" s="2">
        <v>1</v>
      </c>
      <c r="E15" s="3" t="s">
        <v>284</v>
      </c>
      <c r="F15" s="3" t="s">
        <v>336</v>
      </c>
      <c r="G15" s="2" t="s">
        <v>286</v>
      </c>
      <c r="H15" s="2" t="s">
        <v>150</v>
      </c>
      <c r="I15" s="2" t="s">
        <v>922</v>
      </c>
      <c r="J15" s="2"/>
    </row>
    <row r="16" ht="32.1" customHeight="1" spans="1:10">
      <c r="A16" s="2">
        <v>14</v>
      </c>
      <c r="B16" s="3" t="s">
        <v>923</v>
      </c>
      <c r="C16" s="2">
        <v>23</v>
      </c>
      <c r="D16" s="2">
        <v>1</v>
      </c>
      <c r="E16" s="3" t="s">
        <v>284</v>
      </c>
      <c r="F16" s="3" t="s">
        <v>336</v>
      </c>
      <c r="G16" s="2" t="s">
        <v>286</v>
      </c>
      <c r="H16" s="2" t="s">
        <v>150</v>
      </c>
      <c r="I16" s="2" t="s">
        <v>924</v>
      </c>
      <c r="J16" s="2"/>
    </row>
    <row r="17" ht="32.1" customHeight="1" spans="1:10">
      <c r="A17" s="2">
        <v>15</v>
      </c>
      <c r="B17" s="3" t="s">
        <v>925</v>
      </c>
      <c r="C17" s="2">
        <v>24</v>
      </c>
      <c r="D17" s="2">
        <v>1</v>
      </c>
      <c r="E17" s="3" t="s">
        <v>284</v>
      </c>
      <c r="F17" s="3" t="s">
        <v>336</v>
      </c>
      <c r="G17" s="2" t="s">
        <v>286</v>
      </c>
      <c r="H17" s="2" t="s">
        <v>150</v>
      </c>
      <c r="I17" s="2" t="s">
        <v>926</v>
      </c>
      <c r="J17" s="2"/>
    </row>
    <row r="18" ht="32.1" customHeight="1" spans="1:10">
      <c r="A18" s="2">
        <v>16</v>
      </c>
      <c r="B18" s="3" t="s">
        <v>927</v>
      </c>
      <c r="C18" s="2">
        <v>25</v>
      </c>
      <c r="D18" s="2">
        <v>1</v>
      </c>
      <c r="E18" s="3" t="s">
        <v>284</v>
      </c>
      <c r="F18" s="3" t="s">
        <v>336</v>
      </c>
      <c r="G18" s="2" t="s">
        <v>286</v>
      </c>
      <c r="H18" s="2" t="s">
        <v>150</v>
      </c>
      <c r="I18" s="2" t="s">
        <v>928</v>
      </c>
      <c r="J18" s="2"/>
    </row>
    <row r="19" ht="32.1" customHeight="1" spans="1:10">
      <c r="A19" s="2">
        <v>17</v>
      </c>
      <c r="B19" s="3" t="s">
        <v>929</v>
      </c>
      <c r="C19" s="2">
        <v>26</v>
      </c>
      <c r="D19" s="2">
        <v>1</v>
      </c>
      <c r="E19" s="3" t="s">
        <v>284</v>
      </c>
      <c r="F19" s="3" t="s">
        <v>336</v>
      </c>
      <c r="G19" s="2" t="s">
        <v>286</v>
      </c>
      <c r="H19" s="2" t="s">
        <v>150</v>
      </c>
      <c r="I19" s="2" t="s">
        <v>930</v>
      </c>
      <c r="J19" s="2"/>
    </row>
    <row r="20" ht="32.1" customHeight="1" spans="1:10">
      <c r="A20" s="27">
        <v>18</v>
      </c>
      <c r="B20" s="99" t="s">
        <v>931</v>
      </c>
      <c r="C20" s="27">
        <v>27</v>
      </c>
      <c r="D20" s="27">
        <v>1</v>
      </c>
      <c r="E20" s="99" t="s">
        <v>284</v>
      </c>
      <c r="F20" s="99" t="s">
        <v>336</v>
      </c>
      <c r="G20" s="27" t="s">
        <v>286</v>
      </c>
      <c r="H20" s="27" t="s">
        <v>150</v>
      </c>
      <c r="I20" s="27" t="s">
        <v>932</v>
      </c>
      <c r="J20" s="27"/>
    </row>
    <row r="21" ht="32.1" customHeight="1" spans="1:7">
      <c r="A21" s="7" t="s">
        <v>933</v>
      </c>
      <c r="E21" s="7"/>
      <c r="F21" s="7"/>
      <c r="G21" s="7"/>
    </row>
    <row r="22" ht="32.1" customHeight="1" spans="2:7">
      <c r="B22" s="7" t="s">
        <v>934</v>
      </c>
      <c r="C22" s="7" t="s">
        <v>935</v>
      </c>
      <c r="E22" s="7"/>
      <c r="F22" s="7"/>
      <c r="G22" s="7"/>
    </row>
    <row r="23" ht="32.1" customHeight="1" spans="2:7">
      <c r="B23" s="7" t="s">
        <v>936</v>
      </c>
      <c r="C23" s="7" t="s">
        <v>937</v>
      </c>
      <c r="E23" s="7"/>
      <c r="F23" s="7"/>
      <c r="G23" s="7"/>
    </row>
    <row r="24" ht="32.1" customHeight="1" spans="1:10">
      <c r="A24" s="2">
        <v>1</v>
      </c>
      <c r="B24" s="3" t="s">
        <v>938</v>
      </c>
      <c r="C24" s="2" t="s">
        <v>939</v>
      </c>
      <c r="D24" s="2">
        <v>2</v>
      </c>
      <c r="E24" s="99"/>
      <c r="F24" s="99"/>
      <c r="G24" s="3"/>
      <c r="H24" s="2"/>
      <c r="I24" s="2"/>
      <c r="J24" s="2"/>
    </row>
    <row r="25" ht="32.1" customHeight="1" spans="1:10">
      <c r="A25" s="2">
        <v>2</v>
      </c>
      <c r="B25" s="3" t="s">
        <v>938</v>
      </c>
      <c r="C25" s="2" t="s">
        <v>940</v>
      </c>
      <c r="D25" s="2">
        <v>1</v>
      </c>
      <c r="E25" s="3"/>
      <c r="F25" s="3"/>
      <c r="G25" s="3"/>
      <c r="H25" s="2"/>
      <c r="I25" s="2"/>
      <c r="J25" s="2"/>
    </row>
    <row r="26" ht="32.1" customHeight="1" spans="1:10">
      <c r="A26" s="2">
        <v>3</v>
      </c>
      <c r="B26" s="3" t="s">
        <v>938</v>
      </c>
      <c r="C26" s="2" t="s">
        <v>941</v>
      </c>
      <c r="D26" s="2">
        <v>1</v>
      </c>
      <c r="E26" s="3"/>
      <c r="F26" s="3"/>
      <c r="G26" s="3"/>
      <c r="H26" s="2"/>
      <c r="I26" s="2"/>
      <c r="J26" s="2"/>
    </row>
    <row r="27" ht="32.1" customHeight="1" spans="1:10">
      <c r="A27" s="2">
        <v>4</v>
      </c>
      <c r="B27" s="3" t="s">
        <v>938</v>
      </c>
      <c r="C27" s="2" t="s">
        <v>942</v>
      </c>
      <c r="D27" s="2">
        <v>1</v>
      </c>
      <c r="E27" s="3"/>
      <c r="F27" s="3"/>
      <c r="G27" s="3"/>
      <c r="H27" s="2"/>
      <c r="I27" s="2"/>
      <c r="J27" s="2"/>
    </row>
    <row r="28" ht="32.1" customHeight="1" spans="1:10">
      <c r="A28" s="2">
        <v>5</v>
      </c>
      <c r="B28" s="3" t="s">
        <v>938</v>
      </c>
      <c r="C28" s="2" t="s">
        <v>943</v>
      </c>
      <c r="D28" s="2">
        <v>1</v>
      </c>
      <c r="E28" s="3"/>
      <c r="F28" s="3"/>
      <c r="G28" s="3"/>
      <c r="H28" s="2"/>
      <c r="I28" s="2"/>
      <c r="J28" s="2"/>
    </row>
    <row r="29" ht="32.1" customHeight="1" spans="1:10">
      <c r="A29" s="2">
        <v>6</v>
      </c>
      <c r="B29" s="3" t="s">
        <v>938</v>
      </c>
      <c r="C29" s="2" t="s">
        <v>944</v>
      </c>
      <c r="D29" s="2">
        <v>1</v>
      </c>
      <c r="E29" s="3"/>
      <c r="F29" s="3"/>
      <c r="G29" s="3"/>
      <c r="H29" s="2"/>
      <c r="I29" s="2"/>
      <c r="J29" s="2"/>
    </row>
    <row r="30" ht="32.1" customHeight="1" spans="1:10">
      <c r="A30" s="2">
        <v>7</v>
      </c>
      <c r="B30" s="3" t="s">
        <v>938</v>
      </c>
      <c r="C30" s="2" t="s">
        <v>945</v>
      </c>
      <c r="D30" s="2">
        <v>1</v>
      </c>
      <c r="E30" s="3"/>
      <c r="F30" s="3"/>
      <c r="G30" s="3"/>
      <c r="H30" s="2"/>
      <c r="I30" s="2"/>
      <c r="J30" s="2"/>
    </row>
    <row r="31" ht="32.1" customHeight="1" spans="1:10">
      <c r="A31" s="2">
        <v>8</v>
      </c>
      <c r="B31" s="3" t="s">
        <v>938</v>
      </c>
      <c r="C31" s="2" t="s">
        <v>876</v>
      </c>
      <c r="D31" s="2">
        <v>1</v>
      </c>
      <c r="E31" s="3"/>
      <c r="F31" s="3"/>
      <c r="G31" s="3"/>
      <c r="H31" s="2"/>
      <c r="I31" s="2"/>
      <c r="J31" s="2"/>
    </row>
    <row r="32" ht="32.1" customHeight="1" spans="1:10">
      <c r="A32" s="2">
        <v>9</v>
      </c>
      <c r="B32" s="3" t="s">
        <v>938</v>
      </c>
      <c r="C32" s="2" t="s">
        <v>878</v>
      </c>
      <c r="D32" s="2">
        <v>1</v>
      </c>
      <c r="E32" s="3"/>
      <c r="F32" s="3"/>
      <c r="G32" s="3"/>
      <c r="H32" s="2"/>
      <c r="I32" s="2"/>
      <c r="J32" s="2"/>
    </row>
    <row r="33" ht="32.1" customHeight="1" spans="1:10">
      <c r="A33" s="2">
        <v>10</v>
      </c>
      <c r="B33" s="3" t="s">
        <v>938</v>
      </c>
      <c r="C33" s="2" t="s">
        <v>882</v>
      </c>
      <c r="D33" s="2">
        <v>1</v>
      </c>
      <c r="E33" s="3"/>
      <c r="F33" s="3"/>
      <c r="G33" s="3"/>
      <c r="H33" s="2"/>
      <c r="I33" s="2"/>
      <c r="J33" s="2"/>
    </row>
    <row r="34" ht="32.1" customHeight="1" spans="1:10">
      <c r="A34" s="2">
        <v>11</v>
      </c>
      <c r="B34" s="3" t="s">
        <v>946</v>
      </c>
      <c r="C34" s="2" t="s">
        <v>947</v>
      </c>
      <c r="D34" s="2">
        <v>1</v>
      </c>
      <c r="E34" s="3"/>
      <c r="F34" s="3"/>
      <c r="G34" s="3"/>
      <c r="H34" s="2"/>
      <c r="I34" s="2"/>
      <c r="J34" s="2"/>
    </row>
    <row r="35" ht="32.1" customHeight="1" spans="1:10">
      <c r="A35" s="2">
        <v>12</v>
      </c>
      <c r="B35" s="3" t="s">
        <v>938</v>
      </c>
      <c r="C35" s="2" t="s">
        <v>885</v>
      </c>
      <c r="D35" s="2">
        <v>1</v>
      </c>
      <c r="E35" s="3"/>
      <c r="F35" s="3"/>
      <c r="G35" s="3"/>
      <c r="H35" s="2"/>
      <c r="I35" s="2"/>
      <c r="J35" s="2"/>
    </row>
    <row r="36" ht="32.1" customHeight="1" spans="1:10">
      <c r="A36" s="2">
        <v>13</v>
      </c>
      <c r="B36" s="3" t="s">
        <v>938</v>
      </c>
      <c r="C36" s="2" t="s">
        <v>887</v>
      </c>
      <c r="D36" s="2">
        <v>1</v>
      </c>
      <c r="E36" s="3"/>
      <c r="F36" s="3"/>
      <c r="G36" s="3"/>
      <c r="H36" s="2"/>
      <c r="I36" s="2"/>
      <c r="J36" s="2"/>
    </row>
    <row r="37" ht="32.1" customHeight="1" spans="1:10">
      <c r="A37" s="2">
        <v>14</v>
      </c>
      <c r="B37" s="3" t="s">
        <v>946</v>
      </c>
      <c r="C37" s="2" t="s">
        <v>948</v>
      </c>
      <c r="D37" s="2">
        <v>1</v>
      </c>
      <c r="E37" s="3"/>
      <c r="F37" s="3"/>
      <c r="G37" s="3"/>
      <c r="H37" s="2"/>
      <c r="I37" s="2"/>
      <c r="J37" s="2"/>
    </row>
    <row r="38" ht="32.1" customHeight="1" spans="1:10">
      <c r="A38" s="2">
        <v>15</v>
      </c>
      <c r="B38" s="3" t="s">
        <v>938</v>
      </c>
      <c r="C38" s="2" t="s">
        <v>887</v>
      </c>
      <c r="D38" s="2">
        <v>1</v>
      </c>
      <c r="E38" s="3"/>
      <c r="F38" s="3"/>
      <c r="G38" s="3"/>
      <c r="H38" s="2"/>
      <c r="I38" s="2"/>
      <c r="J38" s="2"/>
    </row>
    <row r="39" ht="32.1" customHeight="1" spans="1:10">
      <c r="A39" s="2">
        <v>16</v>
      </c>
      <c r="B39" s="3" t="s">
        <v>938</v>
      </c>
      <c r="C39" s="2" t="s">
        <v>889</v>
      </c>
      <c r="D39" s="2">
        <v>1</v>
      </c>
      <c r="E39" s="3"/>
      <c r="F39" s="3"/>
      <c r="G39" s="3"/>
      <c r="H39" s="2"/>
      <c r="I39" s="2"/>
      <c r="J39" s="2"/>
    </row>
    <row r="40" ht="32.1" customHeight="1" spans="1:10">
      <c r="A40" s="2">
        <v>17</v>
      </c>
      <c r="B40" s="3" t="s">
        <v>938</v>
      </c>
      <c r="C40" s="2" t="s">
        <v>892</v>
      </c>
      <c r="D40" s="2">
        <v>1</v>
      </c>
      <c r="E40" s="3"/>
      <c r="F40" s="3"/>
      <c r="G40" s="3"/>
      <c r="H40" s="2"/>
      <c r="I40" s="2"/>
      <c r="J40" s="2"/>
    </row>
    <row r="41" ht="32.1" customHeight="1" spans="1:10">
      <c r="A41" s="2">
        <v>18</v>
      </c>
      <c r="B41" s="3" t="s">
        <v>938</v>
      </c>
      <c r="C41" s="2" t="s">
        <v>894</v>
      </c>
      <c r="D41" s="2">
        <v>1</v>
      </c>
      <c r="E41" s="3"/>
      <c r="F41" s="3"/>
      <c r="G41" s="3"/>
      <c r="H41" s="2"/>
      <c r="I41" s="2"/>
      <c r="J41" s="2"/>
    </row>
    <row r="42" ht="32.1" customHeight="1" spans="1:10">
      <c r="A42" s="2">
        <v>19</v>
      </c>
      <c r="B42" s="3" t="s">
        <v>938</v>
      </c>
      <c r="C42" s="19" t="s">
        <v>949</v>
      </c>
      <c r="D42" s="2">
        <v>1</v>
      </c>
      <c r="E42" s="3"/>
      <c r="F42" s="3"/>
      <c r="G42" s="3"/>
      <c r="H42" s="2"/>
      <c r="I42" s="2"/>
      <c r="J42" s="2"/>
    </row>
    <row r="43" ht="32.1" customHeight="1" spans="1:10">
      <c r="A43" s="2"/>
      <c r="B43" s="3"/>
      <c r="C43" s="2"/>
      <c r="D43" s="2"/>
      <c r="E43" s="3"/>
      <c r="F43" s="3"/>
      <c r="G43" s="3"/>
      <c r="H43" s="2"/>
      <c r="I43" s="2"/>
      <c r="J43" s="2"/>
    </row>
    <row r="44" ht="32.1" customHeight="1" spans="1:10">
      <c r="A44" s="2"/>
      <c r="B44" s="2"/>
      <c r="C44" s="2"/>
      <c r="D44" s="2"/>
      <c r="E44" s="3"/>
      <c r="F44" s="3"/>
      <c r="G44" s="3"/>
      <c r="H44" s="2"/>
      <c r="I44" s="2"/>
      <c r="J44" s="2"/>
    </row>
    <row r="45" ht="32.1" customHeight="1"/>
    <row r="46" ht="32.1" customHeight="1"/>
    <row r="47" ht="32.1" customHeight="1"/>
    <row r="48" ht="32.1" customHeight="1"/>
    <row r="49" ht="32.1" customHeight="1"/>
  </sheetData>
  <mergeCells count="2">
    <mergeCell ref="A1:J1"/>
    <mergeCell ref="A21:J21"/>
  </mergeCells>
  <pageMargins left="0.751388888888889" right="0.751388888888889" top="0.409027777777778" bottom="0.605555555555556" header="0.511805555555556" footer="0.511805555555556"/>
  <pageSetup paperSize="9" orientation="landscape" horizontalDpi="600"/>
  <headerFooter>
    <oddFooter>&amp;C第 &amp;P 页，共 &amp;N 页</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4"/>
  <sheetViews>
    <sheetView workbookViewId="0">
      <pane ySplit="2" topLeftCell="A94" activePane="bottomLeft" state="frozen"/>
      <selection/>
      <selection pane="bottomLeft" activeCell="B104" sqref="B104"/>
    </sheetView>
  </sheetViews>
  <sheetFormatPr defaultColWidth="9" defaultRowHeight="14.25"/>
  <cols>
    <col min="1" max="1" width="4.25" style="59" customWidth="1"/>
    <col min="2" max="2" width="40.25" style="84" customWidth="1"/>
    <col min="3" max="3" width="15.5" style="59" customWidth="1"/>
    <col min="4" max="4" width="5.125" style="111" customWidth="1"/>
    <col min="5" max="5" width="14.875" style="59" customWidth="1"/>
    <col min="6" max="6" width="16" style="59" customWidth="1"/>
    <col min="7" max="7" width="7.75" style="59" customWidth="1"/>
    <col min="8" max="8" width="9.875" style="111" customWidth="1"/>
    <col min="9" max="9" width="10.375" style="111" customWidth="1"/>
    <col min="10" max="10" width="9.375" style="59" customWidth="1"/>
    <col min="11" max="16384" width="9" style="59"/>
  </cols>
  <sheetData>
    <row r="1" ht="36" customHeight="1" spans="1:10">
      <c r="A1" s="61" t="s">
        <v>950</v>
      </c>
      <c r="B1" s="62"/>
      <c r="C1" s="61"/>
      <c r="D1" s="61"/>
      <c r="E1" s="61"/>
      <c r="F1" s="61"/>
      <c r="G1" s="61"/>
      <c r="H1" s="61"/>
      <c r="I1" s="61"/>
      <c r="J1" s="61"/>
    </row>
    <row r="2" ht="18.95" customHeight="1" spans="1:10">
      <c r="A2" s="63" t="s">
        <v>1</v>
      </c>
      <c r="B2" s="64" t="s">
        <v>2</v>
      </c>
      <c r="C2" s="65" t="s">
        <v>951</v>
      </c>
      <c r="D2" s="63" t="s">
        <v>952</v>
      </c>
      <c r="E2" s="63" t="s">
        <v>953</v>
      </c>
      <c r="F2" s="63" t="s">
        <v>954</v>
      </c>
      <c r="G2" s="63" t="s">
        <v>251</v>
      </c>
      <c r="H2" s="63" t="s">
        <v>955</v>
      </c>
      <c r="I2" s="63" t="s">
        <v>252</v>
      </c>
      <c r="J2" s="63" t="s">
        <v>12</v>
      </c>
    </row>
    <row r="3" ht="18.95" customHeight="1" spans="1:10">
      <c r="A3" s="113" t="s">
        <v>956</v>
      </c>
      <c r="B3" s="114"/>
      <c r="C3" s="114"/>
      <c r="D3" s="114"/>
      <c r="E3" s="114"/>
      <c r="F3" s="114"/>
      <c r="G3" s="114"/>
      <c r="H3" s="114"/>
      <c r="I3" s="114"/>
      <c r="J3" s="126"/>
    </row>
    <row r="4" ht="35" customHeight="1" spans="1:10">
      <c r="A4" s="66">
        <v>1</v>
      </c>
      <c r="B4" s="72" t="s">
        <v>957</v>
      </c>
      <c r="C4" s="68" t="s">
        <v>958</v>
      </c>
      <c r="D4" s="66">
        <v>1</v>
      </c>
      <c r="E4" s="66" t="s">
        <v>336</v>
      </c>
      <c r="F4" s="66" t="s">
        <v>284</v>
      </c>
      <c r="G4" s="66"/>
      <c r="H4" s="66"/>
      <c r="I4" s="66"/>
      <c r="J4" s="131" t="s">
        <v>959</v>
      </c>
    </row>
    <row r="5" ht="35" customHeight="1" spans="1:10">
      <c r="A5" s="66">
        <v>2</v>
      </c>
      <c r="B5" s="72" t="s">
        <v>960</v>
      </c>
      <c r="C5" s="68" t="s">
        <v>961</v>
      </c>
      <c r="D5" s="66">
        <v>1</v>
      </c>
      <c r="E5" s="66" t="s">
        <v>336</v>
      </c>
      <c r="F5" s="66" t="s">
        <v>284</v>
      </c>
      <c r="G5" s="66"/>
      <c r="H5" s="66"/>
      <c r="I5" s="66"/>
      <c r="J5" s="150"/>
    </row>
    <row r="6" ht="35" customHeight="1" spans="1:10">
      <c r="A6" s="66">
        <v>3</v>
      </c>
      <c r="B6" s="72" t="s">
        <v>962</v>
      </c>
      <c r="C6" s="68" t="s">
        <v>963</v>
      </c>
      <c r="D6" s="66">
        <v>1</v>
      </c>
      <c r="E6" s="66" t="s">
        <v>336</v>
      </c>
      <c r="F6" s="66" t="s">
        <v>284</v>
      </c>
      <c r="G6" s="66"/>
      <c r="H6" s="66"/>
      <c r="I6" s="66"/>
      <c r="J6" s="150"/>
    </row>
    <row r="7" ht="35" customHeight="1" spans="1:10">
      <c r="A7" s="66">
        <v>4</v>
      </c>
      <c r="B7" s="72" t="s">
        <v>964</v>
      </c>
      <c r="C7" s="68" t="s">
        <v>965</v>
      </c>
      <c r="D7" s="66">
        <v>1</v>
      </c>
      <c r="E7" s="66" t="s">
        <v>336</v>
      </c>
      <c r="F7" s="66" t="s">
        <v>284</v>
      </c>
      <c r="G7" s="66"/>
      <c r="H7" s="66"/>
      <c r="I7" s="66"/>
      <c r="J7" s="150"/>
    </row>
    <row r="8" ht="35" customHeight="1" spans="1:10">
      <c r="A8" s="66">
        <v>5</v>
      </c>
      <c r="B8" s="72" t="s">
        <v>966</v>
      </c>
      <c r="C8" s="68" t="s">
        <v>967</v>
      </c>
      <c r="D8" s="66">
        <v>1</v>
      </c>
      <c r="E8" s="66" t="s">
        <v>336</v>
      </c>
      <c r="F8" s="66" t="s">
        <v>284</v>
      </c>
      <c r="G8" s="66"/>
      <c r="H8" s="66"/>
      <c r="I8" s="66"/>
      <c r="J8" s="150"/>
    </row>
    <row r="9" ht="35" customHeight="1" spans="1:10">
      <c r="A9" s="66">
        <v>6</v>
      </c>
      <c r="B9" s="72" t="s">
        <v>968</v>
      </c>
      <c r="C9" s="68" t="s">
        <v>969</v>
      </c>
      <c r="D9" s="66">
        <v>1</v>
      </c>
      <c r="E9" s="66" t="s">
        <v>336</v>
      </c>
      <c r="F9" s="66" t="s">
        <v>284</v>
      </c>
      <c r="G9" s="66"/>
      <c r="H9" s="66"/>
      <c r="I9" s="66"/>
      <c r="J9" s="150"/>
    </row>
    <row r="10" ht="35" customHeight="1" spans="1:10">
      <c r="A10" s="66">
        <v>7</v>
      </c>
      <c r="B10" s="72" t="s">
        <v>970</v>
      </c>
      <c r="C10" s="68" t="s">
        <v>971</v>
      </c>
      <c r="D10" s="66">
        <v>1</v>
      </c>
      <c r="E10" s="66" t="s">
        <v>336</v>
      </c>
      <c r="F10" s="66" t="s">
        <v>284</v>
      </c>
      <c r="G10" s="66"/>
      <c r="H10" s="66"/>
      <c r="I10" s="66"/>
      <c r="J10" s="151"/>
    </row>
    <row r="11" ht="18.95" customHeight="1" spans="1:10">
      <c r="A11" s="113"/>
      <c r="B11" s="114"/>
      <c r="C11" s="114"/>
      <c r="D11" s="114"/>
      <c r="E11" s="114"/>
      <c r="F11" s="114"/>
      <c r="G11" s="114"/>
      <c r="H11" s="114"/>
      <c r="I11" s="114"/>
      <c r="J11" s="126"/>
    </row>
    <row r="12" ht="34" customHeight="1" spans="1:10">
      <c r="A12" s="63">
        <v>1</v>
      </c>
      <c r="B12" s="131" t="s">
        <v>972</v>
      </c>
      <c r="C12" s="85" t="s">
        <v>973</v>
      </c>
      <c r="D12" s="63">
        <v>1</v>
      </c>
      <c r="E12" s="63" t="s">
        <v>336</v>
      </c>
      <c r="F12" s="63" t="s">
        <v>284</v>
      </c>
      <c r="G12" s="63"/>
      <c r="H12" s="63"/>
      <c r="I12" s="63" t="s">
        <v>974</v>
      </c>
      <c r="J12" s="63" t="s">
        <v>975</v>
      </c>
    </row>
    <row r="13" ht="34" customHeight="1" spans="1:10">
      <c r="A13" s="63">
        <v>2</v>
      </c>
      <c r="B13" s="72" t="s">
        <v>976</v>
      </c>
      <c r="C13" s="85" t="s">
        <v>977</v>
      </c>
      <c r="D13" s="66">
        <v>1</v>
      </c>
      <c r="E13" s="66" t="s">
        <v>336</v>
      </c>
      <c r="F13" s="66" t="s">
        <v>284</v>
      </c>
      <c r="G13" s="66"/>
      <c r="H13" s="66"/>
      <c r="I13" s="66"/>
      <c r="J13" s="152"/>
    </row>
    <row r="14" ht="34" customHeight="1" spans="1:10">
      <c r="A14" s="63">
        <v>3</v>
      </c>
      <c r="B14" s="72" t="s">
        <v>978</v>
      </c>
      <c r="C14" s="85" t="s">
        <v>979</v>
      </c>
      <c r="D14" s="66">
        <v>1</v>
      </c>
      <c r="E14" s="66" t="s">
        <v>336</v>
      </c>
      <c r="F14" s="66" t="s">
        <v>284</v>
      </c>
      <c r="G14" s="66"/>
      <c r="H14" s="66"/>
      <c r="I14" s="66"/>
      <c r="J14" s="152"/>
    </row>
    <row r="15" ht="34" customHeight="1" spans="1:10">
      <c r="A15" s="63">
        <v>4</v>
      </c>
      <c r="B15" s="72" t="s">
        <v>980</v>
      </c>
      <c r="C15" s="66" t="s">
        <v>981</v>
      </c>
      <c r="D15" s="66">
        <v>1</v>
      </c>
      <c r="E15" s="66" t="s">
        <v>336</v>
      </c>
      <c r="F15" s="66" t="s">
        <v>284</v>
      </c>
      <c r="G15" s="66"/>
      <c r="H15" s="66"/>
      <c r="I15" s="66"/>
      <c r="J15" s="153"/>
    </row>
    <row r="16" ht="34" customHeight="1" spans="1:10">
      <c r="A16" s="63"/>
      <c r="B16" s="72"/>
      <c r="C16" s="66"/>
      <c r="D16" s="66"/>
      <c r="E16" s="66"/>
      <c r="F16" s="66"/>
      <c r="G16" s="66"/>
      <c r="H16" s="66"/>
      <c r="I16" s="66"/>
      <c r="J16" s="153"/>
    </row>
    <row r="17" ht="34" customHeight="1" spans="1:10">
      <c r="A17" s="66">
        <v>1</v>
      </c>
      <c r="B17" s="72" t="s">
        <v>982</v>
      </c>
      <c r="C17" s="68" t="s">
        <v>958</v>
      </c>
      <c r="D17" s="66">
        <v>1</v>
      </c>
      <c r="E17" s="66" t="s">
        <v>336</v>
      </c>
      <c r="F17" s="66" t="s">
        <v>284</v>
      </c>
      <c r="G17" s="66"/>
      <c r="H17" s="66"/>
      <c r="I17" s="66"/>
      <c r="J17" s="64" t="s">
        <v>983</v>
      </c>
    </row>
    <row r="18" ht="34" customHeight="1" spans="1:10">
      <c r="A18" s="66">
        <v>2</v>
      </c>
      <c r="B18" s="72" t="s">
        <v>984</v>
      </c>
      <c r="C18" s="68" t="s">
        <v>965</v>
      </c>
      <c r="D18" s="66">
        <v>1</v>
      </c>
      <c r="E18" s="66" t="s">
        <v>336</v>
      </c>
      <c r="F18" s="66" t="s">
        <v>284</v>
      </c>
      <c r="G18" s="66"/>
      <c r="H18" s="66"/>
      <c r="I18" s="66"/>
      <c r="J18" s="154"/>
    </row>
    <row r="19" ht="50" customHeight="1" spans="1:10">
      <c r="A19" s="66">
        <v>3</v>
      </c>
      <c r="B19" s="72" t="s">
        <v>985</v>
      </c>
      <c r="C19" s="68" t="s">
        <v>965</v>
      </c>
      <c r="D19" s="66">
        <v>1</v>
      </c>
      <c r="E19" s="66" t="s">
        <v>336</v>
      </c>
      <c r="F19" s="66" t="s">
        <v>284</v>
      </c>
      <c r="G19" s="66"/>
      <c r="H19" s="66"/>
      <c r="I19" s="66" t="s">
        <v>986</v>
      </c>
      <c r="J19" s="154"/>
    </row>
    <row r="20" ht="38" customHeight="1" spans="1:10">
      <c r="A20" s="66">
        <v>4</v>
      </c>
      <c r="B20" s="72" t="s">
        <v>987</v>
      </c>
      <c r="C20" s="68" t="s">
        <v>967</v>
      </c>
      <c r="D20" s="66">
        <v>1</v>
      </c>
      <c r="E20" s="66" t="s">
        <v>336</v>
      </c>
      <c r="F20" s="66" t="s">
        <v>284</v>
      </c>
      <c r="G20" s="66"/>
      <c r="H20" s="66"/>
      <c r="I20" s="66"/>
      <c r="J20" s="154"/>
    </row>
    <row r="21" ht="33" customHeight="1" spans="1:10">
      <c r="A21" s="66">
        <v>5</v>
      </c>
      <c r="B21" s="72" t="s">
        <v>988</v>
      </c>
      <c r="C21" s="68" t="s">
        <v>969</v>
      </c>
      <c r="D21" s="66">
        <v>1</v>
      </c>
      <c r="E21" s="66" t="s">
        <v>336</v>
      </c>
      <c r="F21" s="66" t="s">
        <v>284</v>
      </c>
      <c r="G21" s="66"/>
      <c r="H21" s="66"/>
      <c r="I21" s="66"/>
      <c r="J21" s="154"/>
    </row>
    <row r="22" ht="66" customHeight="1" spans="1:10">
      <c r="A22" s="66">
        <v>6</v>
      </c>
      <c r="B22" s="72" t="s">
        <v>989</v>
      </c>
      <c r="C22" s="86" t="s">
        <v>990</v>
      </c>
      <c r="D22" s="66">
        <v>1</v>
      </c>
      <c r="E22" s="66" t="s">
        <v>336</v>
      </c>
      <c r="F22" s="66" t="s">
        <v>284</v>
      </c>
      <c r="G22" s="66" t="s">
        <v>150</v>
      </c>
      <c r="H22" s="66" t="s">
        <v>286</v>
      </c>
      <c r="I22" s="66"/>
      <c r="J22" s="155"/>
    </row>
    <row r="23" customFormat="1" ht="36" customHeight="1" spans="1:10">
      <c r="A23" s="87" t="s">
        <v>991</v>
      </c>
      <c r="B23" s="116"/>
      <c r="C23" s="116"/>
      <c r="D23" s="116"/>
      <c r="E23" s="116"/>
      <c r="F23" s="116"/>
      <c r="G23" s="116"/>
      <c r="H23" s="116"/>
      <c r="I23" s="116"/>
      <c r="J23" s="89"/>
    </row>
    <row r="24" s="127" customFormat="1" ht="32.1" customHeight="1" spans="1:10">
      <c r="A24" s="132">
        <v>1</v>
      </c>
      <c r="B24" s="133" t="s">
        <v>992</v>
      </c>
      <c r="C24" s="134"/>
      <c r="D24" s="135">
        <v>1</v>
      </c>
      <c r="E24" s="135" t="s">
        <v>284</v>
      </c>
      <c r="F24" s="135" t="s">
        <v>336</v>
      </c>
      <c r="G24" s="135" t="s">
        <v>286</v>
      </c>
      <c r="H24" s="135" t="s">
        <v>583</v>
      </c>
      <c r="I24" s="135" t="s">
        <v>993</v>
      </c>
      <c r="J24" s="134"/>
    </row>
    <row r="25" s="128" customFormat="1" ht="54" customHeight="1" spans="1:10">
      <c r="A25" s="132">
        <v>2</v>
      </c>
      <c r="B25" s="136" t="s">
        <v>994</v>
      </c>
      <c r="C25" s="137" t="s">
        <v>995</v>
      </c>
      <c r="D25" s="138">
        <v>1</v>
      </c>
      <c r="E25" s="69" t="s">
        <v>336</v>
      </c>
      <c r="F25" s="69" t="s">
        <v>284</v>
      </c>
      <c r="G25" s="137"/>
      <c r="H25" s="138" t="s">
        <v>32</v>
      </c>
      <c r="I25" s="138" t="s">
        <v>996</v>
      </c>
      <c r="J25" s="156" t="s">
        <v>997</v>
      </c>
    </row>
    <row r="26" s="128" customFormat="1" ht="54" customHeight="1" spans="1:10">
      <c r="A26" s="132">
        <v>3</v>
      </c>
      <c r="B26" s="136" t="s">
        <v>994</v>
      </c>
      <c r="C26" s="137" t="s">
        <v>998</v>
      </c>
      <c r="D26" s="138">
        <v>1</v>
      </c>
      <c r="E26" s="69" t="s">
        <v>336</v>
      </c>
      <c r="F26" s="69" t="s">
        <v>284</v>
      </c>
      <c r="G26" s="137"/>
      <c r="H26" s="138" t="s">
        <v>32</v>
      </c>
      <c r="I26" s="138" t="s">
        <v>996</v>
      </c>
      <c r="J26" s="157"/>
    </row>
    <row r="27" ht="38" customHeight="1" spans="1:10">
      <c r="A27" s="132">
        <v>4</v>
      </c>
      <c r="B27" s="123" t="s">
        <v>999</v>
      </c>
      <c r="C27" s="71" t="s">
        <v>1000</v>
      </c>
      <c r="D27" s="66">
        <v>1</v>
      </c>
      <c r="E27" s="69" t="s">
        <v>336</v>
      </c>
      <c r="F27" s="69" t="s">
        <v>284</v>
      </c>
      <c r="G27" s="69"/>
      <c r="H27" s="139" t="s">
        <v>32</v>
      </c>
      <c r="I27" s="158">
        <v>42688</v>
      </c>
      <c r="J27" s="157"/>
    </row>
    <row r="28" ht="32.1" customHeight="1" spans="1:10">
      <c r="A28" s="132">
        <v>5</v>
      </c>
      <c r="B28" s="123" t="s">
        <v>449</v>
      </c>
      <c r="C28" s="71" t="s">
        <v>1001</v>
      </c>
      <c r="D28" s="66">
        <v>2</v>
      </c>
      <c r="E28" s="69" t="s">
        <v>336</v>
      </c>
      <c r="F28" s="69" t="s">
        <v>284</v>
      </c>
      <c r="G28" s="69"/>
      <c r="H28" s="139" t="s">
        <v>32</v>
      </c>
      <c r="I28" s="158">
        <v>42695</v>
      </c>
      <c r="J28" s="157"/>
    </row>
    <row r="29" ht="32.1" customHeight="1" spans="1:10">
      <c r="A29" s="132">
        <v>6</v>
      </c>
      <c r="B29" s="123" t="s">
        <v>449</v>
      </c>
      <c r="C29" s="71" t="s">
        <v>1002</v>
      </c>
      <c r="D29" s="66">
        <v>2</v>
      </c>
      <c r="E29" s="69" t="s">
        <v>336</v>
      </c>
      <c r="F29" s="69" t="s">
        <v>284</v>
      </c>
      <c r="G29" s="69"/>
      <c r="H29" s="139" t="s">
        <v>32</v>
      </c>
      <c r="I29" s="158">
        <v>42703</v>
      </c>
      <c r="J29" s="157"/>
    </row>
    <row r="30" ht="48.75" customHeight="1" spans="1:10">
      <c r="A30" s="132">
        <v>7</v>
      </c>
      <c r="B30" s="123" t="s">
        <v>449</v>
      </c>
      <c r="C30" s="140">
        <v>42705</v>
      </c>
      <c r="D30" s="66">
        <v>1</v>
      </c>
      <c r="E30" s="69" t="s">
        <v>336</v>
      </c>
      <c r="F30" s="69" t="s">
        <v>284</v>
      </c>
      <c r="G30" s="69"/>
      <c r="H30" s="139" t="s">
        <v>32</v>
      </c>
      <c r="I30" s="139" t="s">
        <v>871</v>
      </c>
      <c r="J30" s="159"/>
    </row>
    <row r="31" s="129" customFormat="1" ht="36" customHeight="1" spans="1:10">
      <c r="A31" s="132">
        <v>1</v>
      </c>
      <c r="B31" s="115" t="s">
        <v>1003</v>
      </c>
      <c r="C31" s="141" t="s">
        <v>1004</v>
      </c>
      <c r="D31" s="132">
        <v>1</v>
      </c>
      <c r="E31" s="132" t="s">
        <v>336</v>
      </c>
      <c r="F31" s="132" t="s">
        <v>284</v>
      </c>
      <c r="G31" s="132" t="s">
        <v>150</v>
      </c>
      <c r="H31" s="132" t="s">
        <v>286</v>
      </c>
      <c r="I31" s="132" t="s">
        <v>600</v>
      </c>
      <c r="J31" s="118" t="s">
        <v>983</v>
      </c>
    </row>
    <row r="32" s="129" customFormat="1" ht="34" customHeight="1" spans="1:10">
      <c r="A32" s="132">
        <v>2</v>
      </c>
      <c r="B32" s="115" t="s">
        <v>1005</v>
      </c>
      <c r="C32" s="141" t="s">
        <v>1006</v>
      </c>
      <c r="D32" s="132">
        <v>2</v>
      </c>
      <c r="E32" s="132" t="s">
        <v>336</v>
      </c>
      <c r="F32" s="132" t="s">
        <v>284</v>
      </c>
      <c r="G32" s="132" t="s">
        <v>150</v>
      </c>
      <c r="H32" s="132" t="s">
        <v>286</v>
      </c>
      <c r="I32" s="132" t="s">
        <v>1007</v>
      </c>
      <c r="J32" s="118" t="s">
        <v>983</v>
      </c>
    </row>
    <row r="33" s="129" customFormat="1" ht="33" customHeight="1" spans="1:10">
      <c r="A33" s="132">
        <v>3</v>
      </c>
      <c r="B33" s="115" t="s">
        <v>1008</v>
      </c>
      <c r="C33" s="141" t="s">
        <v>1009</v>
      </c>
      <c r="D33" s="132">
        <v>2</v>
      </c>
      <c r="E33" s="132" t="s">
        <v>336</v>
      </c>
      <c r="F33" s="132" t="s">
        <v>284</v>
      </c>
      <c r="G33" s="132" t="s">
        <v>150</v>
      </c>
      <c r="H33" s="132" t="s">
        <v>286</v>
      </c>
      <c r="I33" s="132" t="s">
        <v>1007</v>
      </c>
      <c r="J33" s="118" t="s">
        <v>983</v>
      </c>
    </row>
    <row r="34" s="130" customFormat="1" ht="33" customHeight="1" spans="1:10">
      <c r="A34" s="132">
        <v>4</v>
      </c>
      <c r="B34" s="142" t="s">
        <v>1010</v>
      </c>
      <c r="C34" s="143" t="s">
        <v>1011</v>
      </c>
      <c r="D34" s="121">
        <v>1</v>
      </c>
      <c r="E34" s="121" t="s">
        <v>336</v>
      </c>
      <c r="F34" s="121" t="s">
        <v>284</v>
      </c>
      <c r="G34" s="121" t="s">
        <v>150</v>
      </c>
      <c r="H34" s="121" t="s">
        <v>286</v>
      </c>
      <c r="I34" s="121"/>
      <c r="J34" s="160" t="s">
        <v>1012</v>
      </c>
    </row>
    <row r="35" s="129" customFormat="1" ht="42.75" spans="1:10">
      <c r="A35" s="132">
        <v>5</v>
      </c>
      <c r="B35" s="115" t="s">
        <v>1013</v>
      </c>
      <c r="C35" s="141" t="s">
        <v>1014</v>
      </c>
      <c r="D35" s="132">
        <v>1</v>
      </c>
      <c r="E35" s="132" t="s">
        <v>336</v>
      </c>
      <c r="F35" s="132" t="s">
        <v>284</v>
      </c>
      <c r="G35" s="132" t="s">
        <v>150</v>
      </c>
      <c r="H35" s="132" t="s">
        <v>286</v>
      </c>
      <c r="I35" s="132" t="s">
        <v>584</v>
      </c>
      <c r="J35" s="115" t="s">
        <v>983</v>
      </c>
    </row>
    <row r="36" s="129" customFormat="1" ht="37" customHeight="1" spans="1:10">
      <c r="A36" s="132">
        <v>6</v>
      </c>
      <c r="B36" s="115" t="s">
        <v>1015</v>
      </c>
      <c r="C36" s="141" t="s">
        <v>1016</v>
      </c>
      <c r="D36" s="132">
        <v>1</v>
      </c>
      <c r="E36" s="132" t="s">
        <v>336</v>
      </c>
      <c r="F36" s="132" t="s">
        <v>284</v>
      </c>
      <c r="G36" s="132" t="s">
        <v>150</v>
      </c>
      <c r="H36" s="132" t="s">
        <v>286</v>
      </c>
      <c r="I36" s="132" t="s">
        <v>600</v>
      </c>
      <c r="J36" s="115" t="s">
        <v>983</v>
      </c>
    </row>
    <row r="37" s="129" customFormat="1" ht="42.75" spans="1:10">
      <c r="A37" s="132">
        <v>7</v>
      </c>
      <c r="B37" s="115" t="s">
        <v>1017</v>
      </c>
      <c r="C37" s="141" t="s">
        <v>1018</v>
      </c>
      <c r="D37" s="132">
        <v>1</v>
      </c>
      <c r="E37" s="132" t="s">
        <v>336</v>
      </c>
      <c r="F37" s="132" t="s">
        <v>284</v>
      </c>
      <c r="G37" s="132" t="s">
        <v>150</v>
      </c>
      <c r="H37" s="132" t="s">
        <v>286</v>
      </c>
      <c r="I37" s="132" t="s">
        <v>591</v>
      </c>
      <c r="J37" s="115" t="s">
        <v>983</v>
      </c>
    </row>
    <row r="38" s="129" customFormat="1" ht="45" customHeight="1" spans="1:10">
      <c r="A38" s="132">
        <v>8</v>
      </c>
      <c r="B38" s="117" t="s">
        <v>1019</v>
      </c>
      <c r="C38" s="144" t="s">
        <v>1020</v>
      </c>
      <c r="D38" s="145">
        <v>2</v>
      </c>
      <c r="E38" s="145" t="s">
        <v>336</v>
      </c>
      <c r="F38" s="145" t="s">
        <v>284</v>
      </c>
      <c r="G38" s="145" t="s">
        <v>150</v>
      </c>
      <c r="H38" s="145" t="s">
        <v>286</v>
      </c>
      <c r="I38" s="145" t="s">
        <v>1021</v>
      </c>
      <c r="J38" s="115" t="s">
        <v>983</v>
      </c>
    </row>
    <row r="39" ht="34" customHeight="1" spans="1:10">
      <c r="A39" s="132">
        <v>9</v>
      </c>
      <c r="B39" s="72" t="s">
        <v>1022</v>
      </c>
      <c r="C39" s="86" t="s">
        <v>1023</v>
      </c>
      <c r="D39" s="66"/>
      <c r="E39" s="66" t="s">
        <v>336</v>
      </c>
      <c r="F39" s="66" t="s">
        <v>284</v>
      </c>
      <c r="G39" s="66" t="s">
        <v>150</v>
      </c>
      <c r="H39" s="66" t="s">
        <v>286</v>
      </c>
      <c r="I39" s="66"/>
      <c r="J39" s="115" t="s">
        <v>1012</v>
      </c>
    </row>
    <row r="40" ht="28.5" spans="1:10">
      <c r="A40" s="132">
        <v>10</v>
      </c>
      <c r="B40" s="72" t="s">
        <v>1024</v>
      </c>
      <c r="C40" s="86" t="s">
        <v>1025</v>
      </c>
      <c r="D40" s="66"/>
      <c r="E40" s="69"/>
      <c r="F40" s="66" t="s">
        <v>284</v>
      </c>
      <c r="G40" s="66" t="s">
        <v>150</v>
      </c>
      <c r="H40" s="66" t="s">
        <v>286</v>
      </c>
      <c r="I40" s="66"/>
      <c r="J40" s="115" t="s">
        <v>1012</v>
      </c>
    </row>
    <row r="41" ht="32.1" customHeight="1" spans="1:10">
      <c r="A41" s="132">
        <v>11</v>
      </c>
      <c r="B41" s="72" t="s">
        <v>980</v>
      </c>
      <c r="C41" s="86"/>
      <c r="D41" s="66">
        <v>1</v>
      </c>
      <c r="E41" s="69" t="s">
        <v>336</v>
      </c>
      <c r="F41" s="69" t="s">
        <v>284</v>
      </c>
      <c r="G41" s="69"/>
      <c r="H41" s="66" t="s">
        <v>678</v>
      </c>
      <c r="I41" s="66" t="s">
        <v>659</v>
      </c>
      <c r="J41" s="69"/>
    </row>
    <row r="42" customFormat="1" ht="32.1" customHeight="1" spans="1:10">
      <c r="A42" s="132"/>
      <c r="B42" s="72" t="s">
        <v>980</v>
      </c>
      <c r="C42" s="86" t="s">
        <v>1004</v>
      </c>
      <c r="D42" s="66"/>
      <c r="E42" s="69" t="s">
        <v>336</v>
      </c>
      <c r="F42" s="69" t="s">
        <v>284</v>
      </c>
      <c r="G42" s="69"/>
      <c r="H42" s="66"/>
      <c r="I42" s="66" t="s">
        <v>1026</v>
      </c>
      <c r="J42" s="69"/>
    </row>
    <row r="43" customFormat="1" ht="28.5" spans="1:10">
      <c r="A43" s="132">
        <v>12</v>
      </c>
      <c r="B43" s="72" t="s">
        <v>1027</v>
      </c>
      <c r="C43" s="86" t="s">
        <v>1028</v>
      </c>
      <c r="D43" s="66">
        <v>1</v>
      </c>
      <c r="E43" s="66" t="s">
        <v>336</v>
      </c>
      <c r="F43" s="66" t="s">
        <v>284</v>
      </c>
      <c r="G43" s="66"/>
      <c r="H43" s="66"/>
      <c r="I43" s="66"/>
      <c r="J43" s="115"/>
    </row>
    <row r="44" s="127" customFormat="1" ht="32.1" customHeight="1" spans="1:10">
      <c r="A44" s="132">
        <v>13</v>
      </c>
      <c r="B44" s="146" t="s">
        <v>1029</v>
      </c>
      <c r="C44" s="147"/>
      <c r="D44" s="148">
        <v>1</v>
      </c>
      <c r="E44" s="147" t="s">
        <v>336</v>
      </c>
      <c r="F44" s="147" t="s">
        <v>284</v>
      </c>
      <c r="G44" s="147" t="s">
        <v>1030</v>
      </c>
      <c r="H44" s="148" t="s">
        <v>22</v>
      </c>
      <c r="I44" s="148" t="s">
        <v>1031</v>
      </c>
      <c r="J44" s="147"/>
    </row>
    <row r="45" s="127" customFormat="1" ht="32.1" customHeight="1" spans="1:10">
      <c r="A45" s="132"/>
      <c r="B45" s="123" t="s">
        <v>449</v>
      </c>
      <c r="C45" s="71" t="s">
        <v>1032</v>
      </c>
      <c r="D45" s="148"/>
      <c r="E45" s="147" t="s">
        <v>336</v>
      </c>
      <c r="F45" s="147" t="s">
        <v>284</v>
      </c>
      <c r="G45" s="147"/>
      <c r="H45" s="148"/>
      <c r="I45" s="148"/>
      <c r="J45" s="147"/>
    </row>
    <row r="46" ht="32.1" customHeight="1" spans="1:10">
      <c r="A46" s="132">
        <v>14</v>
      </c>
      <c r="B46" s="123" t="s">
        <v>449</v>
      </c>
      <c r="C46" s="71" t="s">
        <v>1033</v>
      </c>
      <c r="D46" s="66">
        <v>1</v>
      </c>
      <c r="E46" s="69" t="s">
        <v>336</v>
      </c>
      <c r="F46" s="69" t="s">
        <v>284</v>
      </c>
      <c r="G46" s="69"/>
      <c r="H46" s="139" t="s">
        <v>32</v>
      </c>
      <c r="I46" s="158">
        <v>42688</v>
      </c>
      <c r="J46" s="69"/>
    </row>
    <row r="47" ht="32.1" customHeight="1" spans="1:10">
      <c r="A47" s="132">
        <v>15</v>
      </c>
      <c r="B47" s="123" t="s">
        <v>449</v>
      </c>
      <c r="C47" s="71" t="s">
        <v>1034</v>
      </c>
      <c r="D47" s="66">
        <v>1</v>
      </c>
      <c r="E47" s="69" t="s">
        <v>336</v>
      </c>
      <c r="F47" s="69" t="s">
        <v>284</v>
      </c>
      <c r="G47" s="69"/>
      <c r="H47" s="139" t="s">
        <v>32</v>
      </c>
      <c r="I47" s="158">
        <v>42688</v>
      </c>
      <c r="J47" s="69"/>
    </row>
    <row r="48" ht="32.1" customHeight="1" spans="1:10">
      <c r="A48" s="132">
        <v>16</v>
      </c>
      <c r="B48" s="123" t="s">
        <v>1035</v>
      </c>
      <c r="C48" s="71" t="s">
        <v>1036</v>
      </c>
      <c r="D48" s="66">
        <v>1</v>
      </c>
      <c r="E48" s="69" t="s">
        <v>336</v>
      </c>
      <c r="F48" s="69" t="s">
        <v>284</v>
      </c>
      <c r="G48" s="69"/>
      <c r="H48" s="139" t="s">
        <v>32</v>
      </c>
      <c r="I48" s="158">
        <v>42688</v>
      </c>
      <c r="J48" s="69"/>
    </row>
    <row r="49" ht="48.75" customHeight="1" spans="1:10">
      <c r="A49" s="87" t="s">
        <v>171</v>
      </c>
      <c r="B49" s="116"/>
      <c r="C49" s="116"/>
      <c r="D49" s="116"/>
      <c r="E49" s="116"/>
      <c r="F49" s="116"/>
      <c r="G49" s="116"/>
      <c r="H49" s="116"/>
      <c r="I49" s="116"/>
      <c r="J49" s="89"/>
    </row>
    <row r="50" ht="48.75" customHeight="1" spans="1:10">
      <c r="A50" s="69">
        <v>1</v>
      </c>
      <c r="B50" s="123" t="s">
        <v>1037</v>
      </c>
      <c r="C50" s="123" t="s">
        <v>1038</v>
      </c>
      <c r="D50" s="66">
        <v>1</v>
      </c>
      <c r="E50" s="69" t="s">
        <v>336</v>
      </c>
      <c r="F50" s="69" t="s">
        <v>284</v>
      </c>
      <c r="G50" s="69"/>
      <c r="H50" s="139"/>
      <c r="I50" s="139"/>
      <c r="J50" s="69"/>
    </row>
    <row r="51" ht="48.75" customHeight="1" spans="1:10">
      <c r="A51" s="69">
        <v>2</v>
      </c>
      <c r="B51" s="123" t="s">
        <v>1039</v>
      </c>
      <c r="C51" s="72" t="s">
        <v>1040</v>
      </c>
      <c r="D51" s="66"/>
      <c r="E51" s="69" t="s">
        <v>336</v>
      </c>
      <c r="F51" s="69" t="s">
        <v>284</v>
      </c>
      <c r="G51" s="69"/>
      <c r="H51" s="139" t="s">
        <v>17</v>
      </c>
      <c r="I51" s="139" t="s">
        <v>1041</v>
      </c>
      <c r="J51" s="69"/>
    </row>
    <row r="52" ht="32.1" customHeight="1" spans="1:10">
      <c r="A52" s="69">
        <v>3</v>
      </c>
      <c r="B52" s="72" t="s">
        <v>1042</v>
      </c>
      <c r="C52" s="72" t="s">
        <v>1043</v>
      </c>
      <c r="D52" s="66">
        <v>1</v>
      </c>
      <c r="E52" s="69" t="s">
        <v>336</v>
      </c>
      <c r="F52" s="69" t="s">
        <v>284</v>
      </c>
      <c r="G52" s="69"/>
      <c r="H52" s="139" t="s">
        <v>32</v>
      </c>
      <c r="I52" s="139" t="s">
        <v>1044</v>
      </c>
      <c r="J52" s="69"/>
    </row>
    <row r="53" ht="32.1" customHeight="1" spans="1:10">
      <c r="A53" s="69">
        <v>4</v>
      </c>
      <c r="B53" s="72" t="s">
        <v>1045</v>
      </c>
      <c r="C53" s="69" t="s">
        <v>1046</v>
      </c>
      <c r="D53" s="66">
        <v>1</v>
      </c>
      <c r="E53" s="69" t="s">
        <v>336</v>
      </c>
      <c r="F53" s="69" t="s">
        <v>284</v>
      </c>
      <c r="G53" s="69"/>
      <c r="H53" s="139" t="s">
        <v>32</v>
      </c>
      <c r="I53" s="66" t="s">
        <v>1047</v>
      </c>
      <c r="J53" s="69"/>
    </row>
    <row r="54" ht="32.1" customHeight="1" spans="1:10">
      <c r="A54" s="69">
        <v>5</v>
      </c>
      <c r="B54" s="72" t="s">
        <v>1048</v>
      </c>
      <c r="C54" s="69" t="s">
        <v>1049</v>
      </c>
      <c r="D54" s="66">
        <v>1</v>
      </c>
      <c r="E54" s="69" t="s">
        <v>336</v>
      </c>
      <c r="F54" s="69" t="s">
        <v>284</v>
      </c>
      <c r="G54" s="69"/>
      <c r="H54" s="139" t="s">
        <v>32</v>
      </c>
      <c r="I54" s="66" t="s">
        <v>1047</v>
      </c>
      <c r="J54" s="69"/>
    </row>
    <row r="55" ht="32.1" customHeight="1" spans="1:10">
      <c r="A55" s="69">
        <v>6</v>
      </c>
      <c r="B55" s="72" t="s">
        <v>1050</v>
      </c>
      <c r="C55" s="69" t="s">
        <v>1051</v>
      </c>
      <c r="D55" s="66">
        <v>1</v>
      </c>
      <c r="E55" s="69" t="s">
        <v>336</v>
      </c>
      <c r="F55" s="69" t="s">
        <v>284</v>
      </c>
      <c r="G55" s="69"/>
      <c r="H55" s="139" t="s">
        <v>32</v>
      </c>
      <c r="I55" s="66" t="s">
        <v>883</v>
      </c>
      <c r="J55" s="69"/>
    </row>
    <row r="56" ht="32.1" customHeight="1" spans="1:10">
      <c r="A56" s="69">
        <v>7</v>
      </c>
      <c r="B56" s="72" t="s">
        <v>1052</v>
      </c>
      <c r="C56" s="69" t="s">
        <v>1053</v>
      </c>
      <c r="D56" s="66">
        <v>1</v>
      </c>
      <c r="E56" s="69" t="s">
        <v>336</v>
      </c>
      <c r="F56" s="69" t="s">
        <v>284</v>
      </c>
      <c r="G56" s="69"/>
      <c r="H56" s="139" t="s">
        <v>32</v>
      </c>
      <c r="I56" s="66" t="s">
        <v>1047</v>
      </c>
      <c r="J56" s="69"/>
    </row>
    <row r="57" ht="39" customHeight="1" spans="1:10">
      <c r="A57" s="69">
        <v>8</v>
      </c>
      <c r="B57" s="72" t="s">
        <v>1054</v>
      </c>
      <c r="C57" s="69" t="s">
        <v>1055</v>
      </c>
      <c r="D57" s="66">
        <v>1</v>
      </c>
      <c r="E57" s="69" t="s">
        <v>336</v>
      </c>
      <c r="F57" s="69" t="s">
        <v>284</v>
      </c>
      <c r="G57" s="69"/>
      <c r="H57" s="139" t="s">
        <v>32</v>
      </c>
      <c r="I57" s="66" t="s">
        <v>883</v>
      </c>
      <c r="J57" s="69"/>
    </row>
    <row r="58" ht="32.1" customHeight="1" spans="1:10">
      <c r="A58" s="69">
        <v>9</v>
      </c>
      <c r="B58" s="72" t="s">
        <v>1056</v>
      </c>
      <c r="C58" s="69" t="s">
        <v>1057</v>
      </c>
      <c r="D58" s="66">
        <v>1</v>
      </c>
      <c r="E58" s="69" t="s">
        <v>336</v>
      </c>
      <c r="F58" s="69" t="s">
        <v>284</v>
      </c>
      <c r="G58" s="69"/>
      <c r="H58" s="139" t="s">
        <v>32</v>
      </c>
      <c r="I58" s="66" t="s">
        <v>773</v>
      </c>
      <c r="J58" s="69"/>
    </row>
    <row r="59" ht="32.1" customHeight="1" spans="1:10">
      <c r="A59" s="69">
        <v>10</v>
      </c>
      <c r="B59" s="72" t="s">
        <v>1058</v>
      </c>
      <c r="C59" s="69" t="s">
        <v>1059</v>
      </c>
      <c r="D59" s="66">
        <v>1</v>
      </c>
      <c r="E59" s="69" t="s">
        <v>336</v>
      </c>
      <c r="F59" s="69" t="s">
        <v>284</v>
      </c>
      <c r="G59" s="69"/>
      <c r="H59" s="139" t="s">
        <v>32</v>
      </c>
      <c r="I59" s="66" t="s">
        <v>1060</v>
      </c>
      <c r="J59" s="69"/>
    </row>
    <row r="60" ht="32.1" customHeight="1" spans="1:10">
      <c r="A60" s="69">
        <v>11</v>
      </c>
      <c r="B60" s="72" t="s">
        <v>1061</v>
      </c>
      <c r="C60" s="69" t="s">
        <v>1062</v>
      </c>
      <c r="D60" s="66">
        <v>1</v>
      </c>
      <c r="E60" s="69" t="s">
        <v>336</v>
      </c>
      <c r="F60" s="69" t="s">
        <v>284</v>
      </c>
      <c r="G60" s="69"/>
      <c r="H60" s="139" t="s">
        <v>32</v>
      </c>
      <c r="I60" s="66" t="s">
        <v>883</v>
      </c>
      <c r="J60" s="69"/>
    </row>
    <row r="61" ht="32.1" customHeight="1" spans="1:10">
      <c r="A61" s="69">
        <v>12</v>
      </c>
      <c r="B61" s="72" t="s">
        <v>1063</v>
      </c>
      <c r="C61" s="69" t="s">
        <v>1064</v>
      </c>
      <c r="D61" s="66">
        <v>1</v>
      </c>
      <c r="E61" s="69" t="s">
        <v>336</v>
      </c>
      <c r="F61" s="69" t="s">
        <v>284</v>
      </c>
      <c r="G61" s="69"/>
      <c r="H61" s="139" t="s">
        <v>32</v>
      </c>
      <c r="I61" s="66" t="s">
        <v>1065</v>
      </c>
      <c r="J61" s="69"/>
    </row>
    <row r="62" ht="32.1" customHeight="1" spans="1:10">
      <c r="A62" s="149">
        <v>13</v>
      </c>
      <c r="B62" s="72" t="s">
        <v>1066</v>
      </c>
      <c r="C62" s="69" t="s">
        <v>1067</v>
      </c>
      <c r="D62" s="66">
        <v>2</v>
      </c>
      <c r="E62" s="69" t="s">
        <v>336</v>
      </c>
      <c r="F62" s="69" t="s">
        <v>284</v>
      </c>
      <c r="G62" s="69"/>
      <c r="H62" s="66"/>
      <c r="I62" s="66"/>
      <c r="J62" s="69" t="s">
        <v>1068</v>
      </c>
    </row>
    <row r="63" ht="42.75" spans="1:10">
      <c r="A63" s="149">
        <v>14</v>
      </c>
      <c r="B63" s="72" t="s">
        <v>1069</v>
      </c>
      <c r="C63" s="69" t="s">
        <v>422</v>
      </c>
      <c r="D63" s="66">
        <v>1</v>
      </c>
      <c r="E63" s="69"/>
      <c r="F63" s="69"/>
      <c r="G63" s="69"/>
      <c r="H63" s="66"/>
      <c r="I63" s="66" t="s">
        <v>1070</v>
      </c>
      <c r="J63" s="69"/>
    </row>
    <row r="64" ht="36" customHeight="1" spans="1:10">
      <c r="A64" s="149">
        <v>15</v>
      </c>
      <c r="B64" s="72" t="s">
        <v>1071</v>
      </c>
      <c r="C64" s="69" t="s">
        <v>1072</v>
      </c>
      <c r="D64" s="66">
        <v>1</v>
      </c>
      <c r="E64" s="69" t="s">
        <v>336</v>
      </c>
      <c r="F64" s="69" t="s">
        <v>284</v>
      </c>
      <c r="G64" s="69"/>
      <c r="H64" s="66"/>
      <c r="I64" s="66" t="s">
        <v>97</v>
      </c>
      <c r="J64" s="69"/>
    </row>
    <row r="65" spans="1:10">
      <c r="A65" s="149">
        <v>16</v>
      </c>
      <c r="B65" s="72" t="s">
        <v>1073</v>
      </c>
      <c r="C65" s="69" t="s">
        <v>97</v>
      </c>
      <c r="D65" s="66">
        <v>1</v>
      </c>
      <c r="E65" s="69" t="s">
        <v>336</v>
      </c>
      <c r="F65" s="69" t="s">
        <v>284</v>
      </c>
      <c r="G65" s="69"/>
      <c r="H65" s="66"/>
      <c r="I65" s="66"/>
      <c r="J65" s="69"/>
    </row>
    <row r="66" ht="30" customHeight="1" spans="1:10">
      <c r="A66" s="149">
        <v>17</v>
      </c>
      <c r="B66" s="72" t="s">
        <v>1074</v>
      </c>
      <c r="C66" s="69" t="s">
        <v>1075</v>
      </c>
      <c r="D66" s="66">
        <v>1</v>
      </c>
      <c r="E66" s="69" t="s">
        <v>336</v>
      </c>
      <c r="F66" s="69" t="s">
        <v>284</v>
      </c>
      <c r="G66" s="69"/>
      <c r="H66" s="66"/>
      <c r="I66" s="66" t="s">
        <v>1076</v>
      </c>
      <c r="J66" s="69"/>
    </row>
    <row r="67" ht="23" customHeight="1" spans="1:10">
      <c r="A67" s="149">
        <v>18</v>
      </c>
      <c r="B67" s="72" t="s">
        <v>1077</v>
      </c>
      <c r="C67" s="69" t="s">
        <v>1076</v>
      </c>
      <c r="D67" s="66">
        <v>1</v>
      </c>
      <c r="E67" s="69" t="s">
        <v>336</v>
      </c>
      <c r="F67" s="69" t="s">
        <v>284</v>
      </c>
      <c r="G67" s="69"/>
      <c r="H67" s="66"/>
      <c r="I67" s="66" t="s">
        <v>1076</v>
      </c>
      <c r="J67" s="69"/>
    </row>
    <row r="68" ht="23" customHeight="1" spans="1:10">
      <c r="A68" s="149">
        <v>19</v>
      </c>
      <c r="B68" s="72" t="s">
        <v>975</v>
      </c>
      <c r="C68" s="69" t="s">
        <v>1078</v>
      </c>
      <c r="D68" s="66">
        <v>1</v>
      </c>
      <c r="E68" s="69" t="s">
        <v>336</v>
      </c>
      <c r="F68" s="69" t="s">
        <v>284</v>
      </c>
      <c r="G68" s="69"/>
      <c r="H68" s="66"/>
      <c r="I68" s="66" t="s">
        <v>430</v>
      </c>
      <c r="J68" s="69"/>
    </row>
    <row r="69" ht="30" customHeight="1" spans="1:10">
      <c r="A69" s="149">
        <v>20</v>
      </c>
      <c r="B69" s="72" t="s">
        <v>1079</v>
      </c>
      <c r="C69" s="69" t="s">
        <v>1080</v>
      </c>
      <c r="D69" s="66">
        <v>1</v>
      </c>
      <c r="E69" s="69" t="s">
        <v>336</v>
      </c>
      <c r="F69" s="69" t="s">
        <v>284</v>
      </c>
      <c r="G69" s="69"/>
      <c r="H69" s="66"/>
      <c r="I69" s="66" t="s">
        <v>1081</v>
      </c>
      <c r="J69" s="69"/>
    </row>
    <row r="70" ht="23" customHeight="1" spans="1:10">
      <c r="A70" s="149">
        <v>21</v>
      </c>
      <c r="B70" s="72" t="s">
        <v>975</v>
      </c>
      <c r="C70" s="69" t="s">
        <v>1082</v>
      </c>
      <c r="D70" s="66">
        <v>1</v>
      </c>
      <c r="E70" s="69" t="s">
        <v>336</v>
      </c>
      <c r="F70" s="69" t="s">
        <v>284</v>
      </c>
      <c r="G70" s="69"/>
      <c r="H70" s="66"/>
      <c r="I70" s="66" t="s">
        <v>1083</v>
      </c>
      <c r="J70" s="69"/>
    </row>
    <row r="71" ht="23" customHeight="1" spans="1:10">
      <c r="A71" s="149">
        <v>22</v>
      </c>
      <c r="B71" s="72" t="s">
        <v>1084</v>
      </c>
      <c r="C71" s="69" t="s">
        <v>1085</v>
      </c>
      <c r="D71" s="66">
        <v>1</v>
      </c>
      <c r="E71" s="69" t="s">
        <v>336</v>
      </c>
      <c r="F71" s="69" t="s">
        <v>284</v>
      </c>
      <c r="G71" s="69"/>
      <c r="H71" s="66"/>
      <c r="I71" s="66" t="s">
        <v>432</v>
      </c>
      <c r="J71" s="69"/>
    </row>
    <row r="72" ht="30" customHeight="1" spans="1:10">
      <c r="A72" s="149">
        <v>23</v>
      </c>
      <c r="B72" s="72" t="s">
        <v>1086</v>
      </c>
      <c r="C72" s="69" t="s">
        <v>429</v>
      </c>
      <c r="D72" s="66">
        <v>1</v>
      </c>
      <c r="E72" s="69" t="s">
        <v>336</v>
      </c>
      <c r="F72" s="69" t="s">
        <v>284</v>
      </c>
      <c r="G72" s="69"/>
      <c r="H72" s="66"/>
      <c r="I72" s="66" t="s">
        <v>1087</v>
      </c>
      <c r="J72" s="69"/>
    </row>
    <row r="73" ht="33" customHeight="1" spans="1:10">
      <c r="A73" s="149">
        <v>24</v>
      </c>
      <c r="B73" s="72" t="s">
        <v>1088</v>
      </c>
      <c r="C73" s="69" t="s">
        <v>1089</v>
      </c>
      <c r="D73" s="66">
        <v>1</v>
      </c>
      <c r="E73" s="69" t="s">
        <v>336</v>
      </c>
      <c r="F73" s="69" t="s">
        <v>284</v>
      </c>
      <c r="G73" s="69"/>
      <c r="H73" s="66"/>
      <c r="I73" s="66" t="s">
        <v>1087</v>
      </c>
      <c r="J73" s="69"/>
    </row>
    <row r="74" ht="33" customHeight="1" spans="1:10">
      <c r="A74" s="149">
        <v>25</v>
      </c>
      <c r="B74" s="72" t="s">
        <v>1090</v>
      </c>
      <c r="C74" s="69" t="s">
        <v>1091</v>
      </c>
      <c r="D74" s="66">
        <v>1</v>
      </c>
      <c r="E74" s="69" t="s">
        <v>336</v>
      </c>
      <c r="F74" s="69" t="s">
        <v>284</v>
      </c>
      <c r="G74" s="69"/>
      <c r="H74" s="66"/>
      <c r="I74" s="66" t="s">
        <v>1087</v>
      </c>
      <c r="J74" s="69"/>
    </row>
    <row r="75" ht="36" customHeight="1" spans="1:10">
      <c r="A75" s="149">
        <v>26</v>
      </c>
      <c r="B75" s="72" t="s">
        <v>1092</v>
      </c>
      <c r="C75" s="69" t="s">
        <v>1093</v>
      </c>
      <c r="D75" s="66">
        <v>1</v>
      </c>
      <c r="E75" s="69" t="s">
        <v>336</v>
      </c>
      <c r="F75" s="69" t="s">
        <v>284</v>
      </c>
      <c r="G75" s="69"/>
      <c r="H75" s="66"/>
      <c r="I75" s="66" t="s">
        <v>1087</v>
      </c>
      <c r="J75" s="69"/>
    </row>
    <row r="76" ht="28.5" spans="1:10">
      <c r="A76" s="149">
        <v>27</v>
      </c>
      <c r="B76" s="72" t="s">
        <v>1094</v>
      </c>
      <c r="C76" s="69" t="s">
        <v>1095</v>
      </c>
      <c r="D76" s="66">
        <v>1</v>
      </c>
      <c r="E76" s="69" t="s">
        <v>336</v>
      </c>
      <c r="F76" s="69" t="s">
        <v>284</v>
      </c>
      <c r="G76" s="69"/>
      <c r="H76" s="66"/>
      <c r="I76" s="66" t="s">
        <v>1087</v>
      </c>
      <c r="J76" s="69"/>
    </row>
    <row r="77" spans="1:10">
      <c r="A77" s="149">
        <v>28</v>
      </c>
      <c r="B77" s="72" t="s">
        <v>1096</v>
      </c>
      <c r="C77" s="69" t="s">
        <v>1097</v>
      </c>
      <c r="D77" s="66">
        <v>1</v>
      </c>
      <c r="E77" s="69" t="s">
        <v>336</v>
      </c>
      <c r="F77" s="69" t="s">
        <v>284</v>
      </c>
      <c r="G77" s="69"/>
      <c r="H77" s="66"/>
      <c r="I77" s="66" t="s">
        <v>1087</v>
      </c>
      <c r="J77" s="69"/>
    </row>
    <row r="78" ht="28.5" spans="1:10">
      <c r="A78" s="149">
        <v>29</v>
      </c>
      <c r="B78" s="72" t="s">
        <v>1098</v>
      </c>
      <c r="C78" s="69" t="s">
        <v>1099</v>
      </c>
      <c r="D78" s="66">
        <v>1</v>
      </c>
      <c r="E78" s="69"/>
      <c r="F78" s="69"/>
      <c r="G78" s="69"/>
      <c r="H78" s="66"/>
      <c r="I78" s="66" t="s">
        <v>1100</v>
      </c>
      <c r="J78" s="69"/>
    </row>
    <row r="79" ht="28.5" spans="1:10">
      <c r="A79" s="149">
        <v>30</v>
      </c>
      <c r="B79" s="72" t="s">
        <v>1101</v>
      </c>
      <c r="C79" s="69" t="s">
        <v>1102</v>
      </c>
      <c r="D79" s="66">
        <v>1</v>
      </c>
      <c r="E79" s="69" t="s">
        <v>336</v>
      </c>
      <c r="F79" s="69" t="s">
        <v>284</v>
      </c>
      <c r="G79" s="69"/>
      <c r="H79" s="66"/>
      <c r="I79" s="124">
        <v>43049</v>
      </c>
      <c r="J79" s="69"/>
    </row>
    <row r="80" ht="28.5" spans="1:10">
      <c r="A80" s="149">
        <v>31</v>
      </c>
      <c r="B80" s="72" t="s">
        <v>1103</v>
      </c>
      <c r="C80" s="69" t="s">
        <v>1104</v>
      </c>
      <c r="D80" s="66">
        <v>1</v>
      </c>
      <c r="E80" s="69" t="s">
        <v>336</v>
      </c>
      <c r="F80" s="69" t="s">
        <v>284</v>
      </c>
      <c r="G80" s="69"/>
      <c r="H80" s="66"/>
      <c r="I80" s="124">
        <v>43049</v>
      </c>
      <c r="J80" s="69"/>
    </row>
    <row r="81" ht="28.5" spans="1:10">
      <c r="A81" s="149">
        <v>32</v>
      </c>
      <c r="B81" s="72" t="s">
        <v>1105</v>
      </c>
      <c r="C81" s="69" t="s">
        <v>1106</v>
      </c>
      <c r="D81" s="66">
        <v>1</v>
      </c>
      <c r="E81" s="69" t="s">
        <v>336</v>
      </c>
      <c r="F81" s="69" t="s">
        <v>284</v>
      </c>
      <c r="G81" s="69"/>
      <c r="H81" s="66"/>
      <c r="I81" s="124">
        <v>43049</v>
      </c>
      <c r="J81" s="69"/>
    </row>
    <row r="82" ht="28.5" spans="1:10">
      <c r="A82" s="149">
        <v>33</v>
      </c>
      <c r="B82" s="72" t="s">
        <v>1107</v>
      </c>
      <c r="C82" s="69" t="s">
        <v>1108</v>
      </c>
      <c r="D82" s="66">
        <v>1</v>
      </c>
      <c r="E82" s="69" t="s">
        <v>336</v>
      </c>
      <c r="F82" s="69" t="s">
        <v>284</v>
      </c>
      <c r="G82" s="69"/>
      <c r="H82" s="66"/>
      <c r="I82" s="124">
        <v>43049</v>
      </c>
      <c r="J82" s="69"/>
    </row>
    <row r="83" ht="25" customHeight="1" spans="1:10">
      <c r="A83" s="149">
        <v>34</v>
      </c>
      <c r="B83" s="72" t="s">
        <v>1109</v>
      </c>
      <c r="C83" s="69" t="s">
        <v>1106</v>
      </c>
      <c r="D83" s="66">
        <v>1</v>
      </c>
      <c r="E83" s="69" t="s">
        <v>336</v>
      </c>
      <c r="F83" s="69" t="s">
        <v>284</v>
      </c>
      <c r="G83" s="69"/>
      <c r="H83" s="66"/>
      <c r="I83" s="124">
        <v>43049</v>
      </c>
      <c r="J83" s="69"/>
    </row>
    <row r="84" ht="25" customHeight="1" spans="1:10">
      <c r="A84" s="149">
        <v>35</v>
      </c>
      <c r="B84" s="72" t="s">
        <v>1110</v>
      </c>
      <c r="C84" s="69" t="s">
        <v>1111</v>
      </c>
      <c r="D84" s="66">
        <v>1</v>
      </c>
      <c r="E84" s="69" t="s">
        <v>336</v>
      </c>
      <c r="F84" s="69" t="s">
        <v>284</v>
      </c>
      <c r="G84" s="69"/>
      <c r="H84" s="66"/>
      <c r="I84" s="124">
        <v>43049</v>
      </c>
      <c r="J84" s="69"/>
    </row>
    <row r="85" ht="25" customHeight="1" spans="1:10">
      <c r="A85" s="149">
        <v>36</v>
      </c>
      <c r="B85" s="72" t="s">
        <v>1112</v>
      </c>
      <c r="C85" s="69" t="s">
        <v>1113</v>
      </c>
      <c r="D85" s="66">
        <v>1</v>
      </c>
      <c r="E85" s="69" t="s">
        <v>336</v>
      </c>
      <c r="F85" s="69" t="s">
        <v>284</v>
      </c>
      <c r="G85" s="69"/>
      <c r="H85" s="66"/>
      <c r="I85" s="124">
        <v>43049</v>
      </c>
      <c r="J85" s="69"/>
    </row>
    <row r="86" ht="25" customHeight="1" spans="1:10">
      <c r="A86" s="149">
        <v>37</v>
      </c>
      <c r="B86" s="72" t="s">
        <v>1114</v>
      </c>
      <c r="C86" s="69" t="s">
        <v>1115</v>
      </c>
      <c r="D86" s="66">
        <v>1</v>
      </c>
      <c r="E86" s="69" t="s">
        <v>336</v>
      </c>
      <c r="F86" s="69" t="s">
        <v>284</v>
      </c>
      <c r="G86" s="69"/>
      <c r="H86" s="66"/>
      <c r="I86" s="124">
        <v>43049</v>
      </c>
      <c r="J86" s="69"/>
    </row>
    <row r="87" ht="25" customHeight="1" spans="1:10">
      <c r="A87" s="149">
        <v>38</v>
      </c>
      <c r="B87" s="72" t="s">
        <v>1116</v>
      </c>
      <c r="C87" s="69" t="s">
        <v>1117</v>
      </c>
      <c r="D87" s="66">
        <v>1</v>
      </c>
      <c r="E87" s="69" t="s">
        <v>336</v>
      </c>
      <c r="F87" s="69" t="s">
        <v>284</v>
      </c>
      <c r="G87" s="69"/>
      <c r="H87" s="66"/>
      <c r="I87" s="124">
        <v>43049</v>
      </c>
      <c r="J87" s="69"/>
    </row>
    <row r="88" ht="25" customHeight="1" spans="1:10">
      <c r="A88" s="149">
        <v>39</v>
      </c>
      <c r="B88" s="72" t="s">
        <v>1118</v>
      </c>
      <c r="C88" s="69" t="s">
        <v>1117</v>
      </c>
      <c r="D88" s="66">
        <v>1</v>
      </c>
      <c r="E88" s="69" t="s">
        <v>336</v>
      </c>
      <c r="F88" s="69" t="s">
        <v>284</v>
      </c>
      <c r="G88" s="69"/>
      <c r="H88" s="66"/>
      <c r="I88" s="124">
        <v>43049</v>
      </c>
      <c r="J88" s="69"/>
    </row>
    <row r="89" ht="25" customHeight="1" spans="1:10">
      <c r="A89" s="149">
        <v>40</v>
      </c>
      <c r="B89" s="72" t="s">
        <v>1119</v>
      </c>
      <c r="C89" s="69" t="s">
        <v>1120</v>
      </c>
      <c r="D89" s="66">
        <v>1</v>
      </c>
      <c r="E89" s="69" t="s">
        <v>336</v>
      </c>
      <c r="F89" s="69" t="s">
        <v>284</v>
      </c>
      <c r="G89" s="69"/>
      <c r="H89" s="66"/>
      <c r="I89" s="124">
        <v>43049</v>
      </c>
      <c r="J89" s="69"/>
    </row>
    <row r="90" ht="42" customHeight="1" spans="1:10">
      <c r="A90" s="149">
        <v>41</v>
      </c>
      <c r="B90" s="72" t="s">
        <v>1121</v>
      </c>
      <c r="C90" s="69" t="s">
        <v>1122</v>
      </c>
      <c r="D90" s="66">
        <v>4</v>
      </c>
      <c r="E90" s="69" t="s">
        <v>336</v>
      </c>
      <c r="F90" s="69" t="s">
        <v>284</v>
      </c>
      <c r="G90" s="69"/>
      <c r="H90" s="66"/>
      <c r="I90" s="124">
        <v>43049</v>
      </c>
      <c r="J90" s="69"/>
    </row>
    <row r="91" ht="42" customHeight="1" spans="1:10">
      <c r="A91" s="149"/>
      <c r="B91" s="72" t="s">
        <v>1123</v>
      </c>
      <c r="C91" s="69" t="s">
        <v>1124</v>
      </c>
      <c r="D91" s="66"/>
      <c r="E91" s="69"/>
      <c r="F91" s="69"/>
      <c r="G91" s="69"/>
      <c r="H91" s="66"/>
      <c r="I91" s="124"/>
      <c r="J91" s="69"/>
    </row>
    <row r="92" ht="25" customHeight="1" spans="1:10">
      <c r="A92" s="149">
        <v>42</v>
      </c>
      <c r="B92" s="72" t="s">
        <v>1125</v>
      </c>
      <c r="C92" s="69" t="s">
        <v>1126</v>
      </c>
      <c r="D92" s="66">
        <v>1</v>
      </c>
      <c r="E92" s="69" t="s">
        <v>336</v>
      </c>
      <c r="F92" s="69" t="s">
        <v>284</v>
      </c>
      <c r="G92" s="69"/>
      <c r="H92" s="66"/>
      <c r="I92" s="124">
        <v>43049</v>
      </c>
      <c r="J92" s="69"/>
    </row>
    <row r="93" ht="24" customHeight="1" spans="1:10">
      <c r="A93" s="149">
        <v>43</v>
      </c>
      <c r="B93" s="72" t="s">
        <v>449</v>
      </c>
      <c r="C93" s="69" t="s">
        <v>1127</v>
      </c>
      <c r="D93" s="66">
        <v>1</v>
      </c>
      <c r="E93" s="69" t="s">
        <v>336</v>
      </c>
      <c r="F93" s="69" t="s">
        <v>284</v>
      </c>
      <c r="G93" s="69"/>
      <c r="H93" s="66"/>
      <c r="I93" s="66"/>
      <c r="J93" s="69"/>
    </row>
    <row r="94" ht="24" customHeight="1" spans="1:10">
      <c r="A94" s="149">
        <v>44</v>
      </c>
      <c r="B94" s="72" t="s">
        <v>1128</v>
      </c>
      <c r="C94" s="69" t="s">
        <v>1129</v>
      </c>
      <c r="D94" s="66">
        <v>1</v>
      </c>
      <c r="E94" s="69" t="s">
        <v>336</v>
      </c>
      <c r="F94" s="69" t="s">
        <v>284</v>
      </c>
      <c r="G94" s="69"/>
      <c r="H94" s="66"/>
      <c r="I94" s="66"/>
      <c r="J94" s="69"/>
    </row>
    <row r="95" ht="24" customHeight="1" spans="1:10">
      <c r="A95" s="149">
        <v>45</v>
      </c>
      <c r="B95" s="72" t="s">
        <v>1128</v>
      </c>
      <c r="C95" s="69" t="s">
        <v>1130</v>
      </c>
      <c r="D95" s="66">
        <v>1</v>
      </c>
      <c r="E95" s="69" t="s">
        <v>336</v>
      </c>
      <c r="F95" s="69" t="s">
        <v>284</v>
      </c>
      <c r="G95" s="69"/>
      <c r="H95" s="66"/>
      <c r="I95" s="124">
        <v>43057</v>
      </c>
      <c r="J95" s="69"/>
    </row>
    <row r="96" ht="24" customHeight="1" spans="1:10">
      <c r="A96" s="149">
        <v>46</v>
      </c>
      <c r="B96" s="72" t="s">
        <v>1128</v>
      </c>
      <c r="C96" s="69" t="s">
        <v>1131</v>
      </c>
      <c r="D96" s="66"/>
      <c r="E96" s="69"/>
      <c r="F96" s="69"/>
      <c r="G96" s="69"/>
      <c r="H96" s="66"/>
      <c r="I96" s="66" t="s">
        <v>1132</v>
      </c>
      <c r="J96" s="69"/>
    </row>
    <row r="97" ht="24" customHeight="1" spans="1:10">
      <c r="A97" s="87" t="s">
        <v>220</v>
      </c>
      <c r="B97" s="116"/>
      <c r="C97" s="116"/>
      <c r="D97" s="116"/>
      <c r="E97" s="116"/>
      <c r="F97" s="116"/>
      <c r="G97" s="116"/>
      <c r="H97" s="116"/>
      <c r="I97" s="116"/>
      <c r="J97" s="89"/>
    </row>
    <row r="98" ht="24" customHeight="1" spans="1:10">
      <c r="A98" s="69">
        <v>1</v>
      </c>
      <c r="B98" s="72" t="s">
        <v>1128</v>
      </c>
      <c r="C98" s="69" t="s">
        <v>1133</v>
      </c>
      <c r="D98" s="66">
        <v>1</v>
      </c>
      <c r="E98" s="69"/>
      <c r="F98" s="69"/>
      <c r="G98" s="69"/>
      <c r="H98" s="66"/>
      <c r="I98" s="66" t="s">
        <v>451</v>
      </c>
      <c r="J98" s="69"/>
    </row>
    <row r="99" ht="24" customHeight="1" spans="1:10">
      <c r="A99" s="69">
        <v>2</v>
      </c>
      <c r="B99" s="72" t="s">
        <v>1128</v>
      </c>
      <c r="C99" s="69" t="s">
        <v>1134</v>
      </c>
      <c r="D99" s="66">
        <v>2</v>
      </c>
      <c r="E99" s="69"/>
      <c r="F99" s="69"/>
      <c r="G99" s="69"/>
      <c r="H99" s="66"/>
      <c r="I99" s="66" t="s">
        <v>1135</v>
      </c>
      <c r="J99" s="69"/>
    </row>
    <row r="100" ht="24" customHeight="1" spans="1:10">
      <c r="A100" s="69">
        <v>3</v>
      </c>
      <c r="B100" s="72" t="s">
        <v>1128</v>
      </c>
      <c r="C100" s="69" t="s">
        <v>1136</v>
      </c>
      <c r="D100" s="66"/>
      <c r="E100" s="69"/>
      <c r="F100" s="69"/>
      <c r="G100" s="69"/>
      <c r="H100" s="66"/>
      <c r="I100" s="66" t="s">
        <v>1137</v>
      </c>
      <c r="J100" s="69"/>
    </row>
    <row r="101" ht="24" customHeight="1" spans="1:10">
      <c r="A101" s="69">
        <v>4</v>
      </c>
      <c r="B101" s="72" t="s">
        <v>1138</v>
      </c>
      <c r="C101" s="69" t="s">
        <v>1139</v>
      </c>
      <c r="D101" s="66"/>
      <c r="E101" s="69"/>
      <c r="F101" s="69"/>
      <c r="G101" s="69"/>
      <c r="H101" s="66"/>
      <c r="I101" s="66" t="s">
        <v>1140</v>
      </c>
      <c r="J101" s="69"/>
    </row>
    <row r="102" ht="24" customHeight="1" spans="1:10">
      <c r="A102" s="69">
        <v>5</v>
      </c>
      <c r="B102" s="72" t="s">
        <v>1141</v>
      </c>
      <c r="C102" s="69" t="s">
        <v>1142</v>
      </c>
      <c r="D102" s="66">
        <v>1</v>
      </c>
      <c r="E102" s="69"/>
      <c r="F102" s="69"/>
      <c r="G102" s="69"/>
      <c r="H102" s="66"/>
      <c r="I102" s="124">
        <v>43237</v>
      </c>
      <c r="J102" s="69"/>
    </row>
    <row r="103" ht="24" customHeight="1" spans="1:10">
      <c r="A103" s="69">
        <v>6</v>
      </c>
      <c r="B103" s="72" t="s">
        <v>1143</v>
      </c>
      <c r="C103" s="161">
        <v>43301</v>
      </c>
      <c r="D103" s="66">
        <v>1</v>
      </c>
      <c r="E103" s="69"/>
      <c r="F103" s="69"/>
      <c r="G103" s="69"/>
      <c r="H103" s="66"/>
      <c r="I103" s="66" t="s">
        <v>477</v>
      </c>
      <c r="J103" s="69"/>
    </row>
    <row r="104" ht="24" customHeight="1" spans="1:10">
      <c r="A104" s="69"/>
      <c r="B104" s="72"/>
      <c r="C104" s="69"/>
      <c r="D104" s="66"/>
      <c r="E104" s="69"/>
      <c r="F104" s="69"/>
      <c r="G104" s="69"/>
      <c r="H104" s="66"/>
      <c r="I104" s="66"/>
      <c r="J104" s="69"/>
    </row>
  </sheetData>
  <mergeCells count="9">
    <mergeCell ref="A1:J1"/>
    <mergeCell ref="A3:J3"/>
    <mergeCell ref="A23:J23"/>
    <mergeCell ref="A49:J49"/>
    <mergeCell ref="A97:J97"/>
    <mergeCell ref="J4:J10"/>
    <mergeCell ref="J12:J15"/>
    <mergeCell ref="J17:J22"/>
    <mergeCell ref="J25:J30"/>
  </mergeCells>
  <pageMargins left="0.432638888888889" right="0.15625" top="0.590277777777778" bottom="0.354166666666667" header="0.507638888888889" footer="0.235416666666667"/>
  <pageSetup paperSize="9" orientation="landscape"/>
  <headerFooter>
    <oddFooter>&amp;C第 &amp;P 页，共 &amp;N 页</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5"/>
  <sheetViews>
    <sheetView topLeftCell="A56" workbookViewId="0">
      <selection activeCell="H69" sqref="H69"/>
    </sheetView>
  </sheetViews>
  <sheetFormatPr defaultColWidth="9" defaultRowHeight="14.25"/>
  <cols>
    <col min="1" max="1" width="7.125" style="59" customWidth="1"/>
    <col min="2" max="2" width="31.375" style="84" customWidth="1"/>
    <col min="3" max="3" width="11.125" style="110" customWidth="1"/>
    <col min="4" max="4" width="9" style="111"/>
    <col min="5" max="5" width="9.625" style="59" customWidth="1"/>
    <col min="6" max="6" width="15.375" style="111" customWidth="1"/>
    <col min="7" max="7" width="9" style="59" customWidth="1"/>
    <col min="8" max="8" width="14.625" style="111" customWidth="1"/>
    <col min="9" max="9" width="12.75" style="59" customWidth="1"/>
    <col min="10" max="16384" width="9" style="59"/>
  </cols>
  <sheetData>
    <row r="1" ht="36" customHeight="1" spans="1:9">
      <c r="A1" s="61" t="s">
        <v>1144</v>
      </c>
      <c r="B1" s="62"/>
      <c r="C1" s="112"/>
      <c r="D1" s="61"/>
      <c r="E1" s="61"/>
      <c r="F1" s="61"/>
      <c r="G1" s="61"/>
      <c r="H1" s="61"/>
      <c r="I1" s="61"/>
    </row>
    <row r="2" ht="29" customHeight="1" spans="1:9">
      <c r="A2" s="63" t="s">
        <v>1145</v>
      </c>
      <c r="B2" s="64" t="s">
        <v>2</v>
      </c>
      <c r="C2" s="65" t="s">
        <v>951</v>
      </c>
      <c r="D2" s="63" t="s">
        <v>952</v>
      </c>
      <c r="E2" s="63" t="s">
        <v>953</v>
      </c>
      <c r="F2" s="63" t="s">
        <v>954</v>
      </c>
      <c r="G2" s="63" t="s">
        <v>60</v>
      </c>
      <c r="H2" s="63" t="s">
        <v>252</v>
      </c>
      <c r="I2" s="63" t="s">
        <v>12</v>
      </c>
    </row>
    <row r="3" ht="18" customHeight="1" spans="1:9">
      <c r="A3" s="113" t="s">
        <v>956</v>
      </c>
      <c r="B3" s="114"/>
      <c r="C3" s="114"/>
      <c r="D3" s="114"/>
      <c r="E3" s="114"/>
      <c r="F3" s="114"/>
      <c r="G3" s="114"/>
      <c r="H3" s="114"/>
      <c r="I3" s="126"/>
    </row>
    <row r="4" ht="19" customHeight="1" spans="1:9">
      <c r="A4" s="66">
        <v>1</v>
      </c>
      <c r="B4" s="115" t="s">
        <v>1146</v>
      </c>
      <c r="C4" s="68" t="s">
        <v>1147</v>
      </c>
      <c r="D4" s="66">
        <v>1</v>
      </c>
      <c r="E4" s="66" t="s">
        <v>396</v>
      </c>
      <c r="F4" s="66" t="s">
        <v>1148</v>
      </c>
      <c r="G4" s="66"/>
      <c r="H4" s="66" t="s">
        <v>1149</v>
      </c>
      <c r="I4" s="66"/>
    </row>
    <row r="5" ht="19" customHeight="1" spans="1:9">
      <c r="A5" s="66">
        <v>2</v>
      </c>
      <c r="B5" s="115" t="s">
        <v>1150</v>
      </c>
      <c r="C5" s="68" t="s">
        <v>1151</v>
      </c>
      <c r="D5" s="66">
        <v>1</v>
      </c>
      <c r="E5" s="66" t="s">
        <v>396</v>
      </c>
      <c r="F5" s="66" t="s">
        <v>1148</v>
      </c>
      <c r="G5" s="66"/>
      <c r="H5" s="66" t="s">
        <v>313</v>
      </c>
      <c r="I5" s="66"/>
    </row>
    <row r="6" ht="19" customHeight="1" spans="1:9">
      <c r="A6" s="66">
        <v>3</v>
      </c>
      <c r="B6" s="115" t="s">
        <v>1146</v>
      </c>
      <c r="C6" s="68" t="s">
        <v>1152</v>
      </c>
      <c r="D6" s="66">
        <v>1</v>
      </c>
      <c r="E6" s="66" t="s">
        <v>396</v>
      </c>
      <c r="F6" s="66" t="s">
        <v>1148</v>
      </c>
      <c r="G6" s="66"/>
      <c r="H6" s="66" t="s">
        <v>1149</v>
      </c>
      <c r="I6" s="66"/>
    </row>
    <row r="7" ht="19" customHeight="1" spans="1:9">
      <c r="A7" s="66">
        <v>4</v>
      </c>
      <c r="B7" s="115" t="s">
        <v>1150</v>
      </c>
      <c r="C7" s="68" t="s">
        <v>1153</v>
      </c>
      <c r="D7" s="66">
        <v>1</v>
      </c>
      <c r="E7" s="66" t="s">
        <v>396</v>
      </c>
      <c r="F7" s="66" t="s">
        <v>1148</v>
      </c>
      <c r="G7" s="66"/>
      <c r="H7" s="66" t="s">
        <v>313</v>
      </c>
      <c r="I7" s="66"/>
    </row>
    <row r="8" ht="19" customHeight="1" spans="1:9">
      <c r="A8" s="66">
        <v>5</v>
      </c>
      <c r="B8" s="115" t="s">
        <v>1146</v>
      </c>
      <c r="C8" s="68" t="s">
        <v>1154</v>
      </c>
      <c r="D8" s="66">
        <v>1</v>
      </c>
      <c r="E8" s="66" t="s">
        <v>396</v>
      </c>
      <c r="F8" s="66" t="s">
        <v>1148</v>
      </c>
      <c r="G8" s="66"/>
      <c r="H8" s="66" t="s">
        <v>549</v>
      </c>
      <c r="I8" s="66"/>
    </row>
    <row r="9" ht="19" customHeight="1" spans="1:9">
      <c r="A9" s="66">
        <v>6</v>
      </c>
      <c r="B9" s="72" t="s">
        <v>1146</v>
      </c>
      <c r="C9" s="68" t="s">
        <v>1155</v>
      </c>
      <c r="D9" s="66">
        <v>1</v>
      </c>
      <c r="E9" s="66" t="s">
        <v>396</v>
      </c>
      <c r="F9" s="66" t="s">
        <v>1148</v>
      </c>
      <c r="G9" s="66"/>
      <c r="H9" s="66"/>
      <c r="I9" s="66"/>
    </row>
    <row r="10" ht="19" customHeight="1" spans="1:9">
      <c r="A10" s="66">
        <v>7</v>
      </c>
      <c r="B10" s="115" t="s">
        <v>1035</v>
      </c>
      <c r="C10" s="68" t="s">
        <v>1155</v>
      </c>
      <c r="D10" s="66">
        <v>1</v>
      </c>
      <c r="E10" s="66" t="s">
        <v>396</v>
      </c>
      <c r="F10" s="66" t="s">
        <v>1148</v>
      </c>
      <c r="G10" s="66"/>
      <c r="H10" s="66" t="s">
        <v>549</v>
      </c>
      <c r="I10" s="66"/>
    </row>
    <row r="11" ht="19" customHeight="1" spans="1:9">
      <c r="A11" s="66">
        <v>8</v>
      </c>
      <c r="B11" s="115" t="s">
        <v>1156</v>
      </c>
      <c r="C11" s="68" t="s">
        <v>1157</v>
      </c>
      <c r="D11" s="66">
        <v>1</v>
      </c>
      <c r="E11" s="66" t="s">
        <v>396</v>
      </c>
      <c r="F11" s="66" t="s">
        <v>1148</v>
      </c>
      <c r="G11" s="66"/>
      <c r="H11" s="66" t="s">
        <v>1158</v>
      </c>
      <c r="I11" s="66"/>
    </row>
    <row r="12" ht="19" customHeight="1" spans="1:9">
      <c r="A12" s="66">
        <v>9</v>
      </c>
      <c r="B12" s="115" t="s">
        <v>1035</v>
      </c>
      <c r="C12" s="68" t="s">
        <v>1159</v>
      </c>
      <c r="D12" s="66">
        <v>1</v>
      </c>
      <c r="E12" s="66" t="s">
        <v>396</v>
      </c>
      <c r="F12" s="66" t="s">
        <v>1148</v>
      </c>
      <c r="G12" s="66"/>
      <c r="H12" s="66" t="s">
        <v>1160</v>
      </c>
      <c r="I12" s="66"/>
    </row>
    <row r="13" ht="19" customHeight="1" spans="1:9">
      <c r="A13" s="66">
        <v>10</v>
      </c>
      <c r="B13" s="115" t="s">
        <v>1161</v>
      </c>
      <c r="C13" s="68" t="s">
        <v>1152</v>
      </c>
      <c r="D13" s="66">
        <v>1</v>
      </c>
      <c r="E13" s="66" t="s">
        <v>396</v>
      </c>
      <c r="F13" s="66" t="s">
        <v>1148</v>
      </c>
      <c r="G13" s="66"/>
      <c r="H13" s="66" t="s">
        <v>279</v>
      </c>
      <c r="I13" s="66"/>
    </row>
    <row r="14" ht="19" customHeight="1" spans="1:9">
      <c r="A14" s="66">
        <v>11</v>
      </c>
      <c r="B14" s="72" t="s">
        <v>1162</v>
      </c>
      <c r="C14" s="68"/>
      <c r="D14" s="66">
        <v>1</v>
      </c>
      <c r="E14" s="66" t="s">
        <v>396</v>
      </c>
      <c r="F14" s="66" t="s">
        <v>1148</v>
      </c>
      <c r="G14" s="66"/>
      <c r="H14" s="66" t="s">
        <v>1163</v>
      </c>
      <c r="I14" s="66"/>
    </row>
    <row r="15" ht="19" customHeight="1" spans="1:9">
      <c r="A15" s="87" t="s">
        <v>991</v>
      </c>
      <c r="B15" s="116"/>
      <c r="C15" s="116"/>
      <c r="D15" s="116"/>
      <c r="E15" s="116"/>
      <c r="F15" s="116"/>
      <c r="G15" s="116"/>
      <c r="H15" s="116"/>
      <c r="I15" s="89"/>
    </row>
    <row r="16" ht="19" customHeight="1" spans="1:9">
      <c r="A16" s="66">
        <v>12</v>
      </c>
      <c r="B16" s="72" t="s">
        <v>1164</v>
      </c>
      <c r="C16" s="68"/>
      <c r="D16" s="66">
        <v>1</v>
      </c>
      <c r="E16" s="66" t="s">
        <v>396</v>
      </c>
      <c r="F16" s="66" t="s">
        <v>1148</v>
      </c>
      <c r="G16" s="66"/>
      <c r="H16" s="66" t="s">
        <v>1165</v>
      </c>
      <c r="I16" s="66"/>
    </row>
    <row r="17" ht="19" customHeight="1" spans="1:9">
      <c r="A17" s="66">
        <v>13</v>
      </c>
      <c r="B17" s="115" t="s">
        <v>1166</v>
      </c>
      <c r="C17" s="68" t="s">
        <v>1167</v>
      </c>
      <c r="D17" s="66">
        <v>1</v>
      </c>
      <c r="E17" s="66" t="s">
        <v>396</v>
      </c>
      <c r="F17" s="66" t="s">
        <v>1148</v>
      </c>
      <c r="G17" s="66"/>
      <c r="H17" s="66" t="s">
        <v>902</v>
      </c>
      <c r="I17" s="66"/>
    </row>
    <row r="18" ht="19" customHeight="1" spans="1:9">
      <c r="A18" s="66">
        <v>14</v>
      </c>
      <c r="B18" s="115" t="s">
        <v>1168</v>
      </c>
      <c r="C18" s="68" t="s">
        <v>1169</v>
      </c>
      <c r="D18" s="66">
        <v>2</v>
      </c>
      <c r="E18" s="66" t="s">
        <v>396</v>
      </c>
      <c r="F18" s="66" t="s">
        <v>1148</v>
      </c>
      <c r="G18" s="66"/>
      <c r="H18" s="66" t="s">
        <v>906</v>
      </c>
      <c r="I18" s="66"/>
    </row>
    <row r="19" ht="19" customHeight="1" spans="1:9">
      <c r="A19" s="63">
        <v>15</v>
      </c>
      <c r="B19" s="117" t="s">
        <v>1170</v>
      </c>
      <c r="C19" s="65" t="s">
        <v>1171</v>
      </c>
      <c r="D19" s="63">
        <v>2</v>
      </c>
      <c r="E19" s="63" t="s">
        <v>396</v>
      </c>
      <c r="F19" s="63" t="s">
        <v>1148</v>
      </c>
      <c r="G19" s="63"/>
      <c r="H19" s="111" t="s">
        <v>1172</v>
      </c>
      <c r="I19" s="63"/>
    </row>
    <row r="20" ht="19" customHeight="1" spans="1:9">
      <c r="A20" s="66">
        <v>16</v>
      </c>
      <c r="B20" s="118" t="s">
        <v>1146</v>
      </c>
      <c r="C20" s="68" t="s">
        <v>1171</v>
      </c>
      <c r="D20" s="66">
        <v>2</v>
      </c>
      <c r="E20" s="66" t="s">
        <v>396</v>
      </c>
      <c r="F20" s="66" t="s">
        <v>1148</v>
      </c>
      <c r="G20" s="66"/>
      <c r="H20" s="66" t="s">
        <v>606</v>
      </c>
      <c r="I20" s="66"/>
    </row>
    <row r="21" ht="27" customHeight="1" spans="1:9">
      <c r="A21" s="66">
        <v>17</v>
      </c>
      <c r="B21" s="119" t="s">
        <v>1173</v>
      </c>
      <c r="C21" s="120" t="s">
        <v>1174</v>
      </c>
      <c r="D21" s="121">
        <v>2</v>
      </c>
      <c r="E21" s="121" t="s">
        <v>396</v>
      </c>
      <c r="F21" s="121" t="s">
        <v>1148</v>
      </c>
      <c r="G21" s="121"/>
      <c r="H21" s="121" t="s">
        <v>1175</v>
      </c>
      <c r="I21" s="67" t="s">
        <v>1176</v>
      </c>
    </row>
    <row r="22" ht="19" customHeight="1" spans="1:9">
      <c r="A22" s="66">
        <v>18</v>
      </c>
      <c r="B22" s="72" t="s">
        <v>1146</v>
      </c>
      <c r="C22" s="88" t="s">
        <v>1177</v>
      </c>
      <c r="D22" s="66"/>
      <c r="E22" s="122" t="s">
        <v>396</v>
      </c>
      <c r="F22" s="122" t="s">
        <v>1148</v>
      </c>
      <c r="G22" s="69"/>
      <c r="H22" s="66" t="s">
        <v>1178</v>
      </c>
      <c r="I22" s="69"/>
    </row>
    <row r="23" ht="19" customHeight="1" spans="1:9">
      <c r="A23" s="66">
        <v>19</v>
      </c>
      <c r="B23" s="123" t="s">
        <v>1179</v>
      </c>
      <c r="C23" s="88" t="s">
        <v>1180</v>
      </c>
      <c r="D23" s="66">
        <v>1</v>
      </c>
      <c r="E23" s="69"/>
      <c r="F23" s="66"/>
      <c r="G23" s="69"/>
      <c r="H23" s="124">
        <v>42696</v>
      </c>
      <c r="I23" s="69"/>
    </row>
    <row r="24" ht="19" customHeight="1" spans="1:9">
      <c r="A24" s="66">
        <v>20</v>
      </c>
      <c r="B24" s="123" t="s">
        <v>1181</v>
      </c>
      <c r="C24" s="88"/>
      <c r="D24" s="66"/>
      <c r="E24" s="71" t="s">
        <v>298</v>
      </c>
      <c r="F24" s="122" t="s">
        <v>1148</v>
      </c>
      <c r="G24" s="69"/>
      <c r="H24" s="124">
        <v>42731</v>
      </c>
      <c r="I24" s="71" t="s">
        <v>461</v>
      </c>
    </row>
    <row r="25" ht="19" customHeight="1" spans="1:9">
      <c r="A25" s="87" t="s">
        <v>171</v>
      </c>
      <c r="B25" s="116"/>
      <c r="C25" s="116"/>
      <c r="D25" s="116"/>
      <c r="E25" s="116"/>
      <c r="F25" s="116"/>
      <c r="G25" s="116"/>
      <c r="H25" s="116"/>
      <c r="I25" s="89"/>
    </row>
    <row r="26" ht="19" customHeight="1" spans="1:9">
      <c r="A26" s="66">
        <v>21</v>
      </c>
      <c r="B26" s="72" t="s">
        <v>1182</v>
      </c>
      <c r="C26" s="88" t="s">
        <v>1183</v>
      </c>
      <c r="D26" s="66"/>
      <c r="E26" s="69" t="s">
        <v>396</v>
      </c>
      <c r="F26" s="66" t="s">
        <v>331</v>
      </c>
      <c r="G26" s="69"/>
      <c r="H26" s="124">
        <v>42786</v>
      </c>
      <c r="I26" s="69"/>
    </row>
    <row r="27" ht="19" customHeight="1" spans="1:9">
      <c r="A27" s="66">
        <v>22</v>
      </c>
      <c r="B27" s="72" t="s">
        <v>1146</v>
      </c>
      <c r="C27" s="88" t="s">
        <v>1183</v>
      </c>
      <c r="D27" s="66">
        <v>1</v>
      </c>
      <c r="E27" s="122" t="s">
        <v>396</v>
      </c>
      <c r="F27" s="66" t="s">
        <v>331</v>
      </c>
      <c r="G27" s="69"/>
      <c r="H27" s="66" t="s">
        <v>1184</v>
      </c>
      <c r="I27" s="69"/>
    </row>
    <row r="28" ht="19" customHeight="1" spans="1:9">
      <c r="A28" s="66">
        <v>23</v>
      </c>
      <c r="B28" s="72" t="s">
        <v>1146</v>
      </c>
      <c r="C28" s="88" t="s">
        <v>1185</v>
      </c>
      <c r="D28" s="66">
        <v>1</v>
      </c>
      <c r="E28" s="122" t="s">
        <v>396</v>
      </c>
      <c r="F28" s="66" t="s">
        <v>331</v>
      </c>
      <c r="G28" s="69"/>
      <c r="H28" s="66" t="s">
        <v>332</v>
      </c>
      <c r="I28" s="69"/>
    </row>
    <row r="29" ht="19" customHeight="1" spans="1:9">
      <c r="A29" s="66">
        <v>24</v>
      </c>
      <c r="B29" s="72" t="s">
        <v>1146</v>
      </c>
      <c r="C29" s="88" t="s">
        <v>876</v>
      </c>
      <c r="D29" s="66">
        <v>1</v>
      </c>
      <c r="E29" s="122" t="s">
        <v>396</v>
      </c>
      <c r="F29" s="66" t="s">
        <v>331</v>
      </c>
      <c r="G29" s="69"/>
      <c r="H29" s="66" t="s">
        <v>332</v>
      </c>
      <c r="I29" s="69"/>
    </row>
    <row r="30" ht="19" customHeight="1" spans="1:9">
      <c r="A30" s="66">
        <v>25</v>
      </c>
      <c r="B30" s="72" t="s">
        <v>1146</v>
      </c>
      <c r="C30" s="88" t="s">
        <v>878</v>
      </c>
      <c r="D30" s="66">
        <v>1</v>
      </c>
      <c r="E30" s="122" t="s">
        <v>396</v>
      </c>
      <c r="F30" s="66" t="s">
        <v>331</v>
      </c>
      <c r="G30" s="69"/>
      <c r="H30" s="66" t="s">
        <v>332</v>
      </c>
      <c r="I30" s="69"/>
    </row>
    <row r="31" ht="19" customHeight="1" spans="1:9">
      <c r="A31" s="66">
        <v>26</v>
      </c>
      <c r="B31" s="72" t="s">
        <v>1186</v>
      </c>
      <c r="C31" s="88" t="s">
        <v>1183</v>
      </c>
      <c r="D31" s="66">
        <v>1</v>
      </c>
      <c r="E31" s="122" t="s">
        <v>396</v>
      </c>
      <c r="F31" s="66" t="s">
        <v>331</v>
      </c>
      <c r="G31" s="69"/>
      <c r="H31" s="66" t="s">
        <v>1187</v>
      </c>
      <c r="I31" s="69"/>
    </row>
    <row r="32" ht="19" customHeight="1" spans="1:9">
      <c r="A32" s="66">
        <v>27</v>
      </c>
      <c r="B32" s="72" t="s">
        <v>1186</v>
      </c>
      <c r="C32" s="88" t="s">
        <v>1185</v>
      </c>
      <c r="D32" s="66">
        <v>1</v>
      </c>
      <c r="E32" s="122" t="s">
        <v>396</v>
      </c>
      <c r="F32" s="66" t="s">
        <v>331</v>
      </c>
      <c r="G32" s="69"/>
      <c r="H32" s="66" t="s">
        <v>1187</v>
      </c>
      <c r="I32" s="69"/>
    </row>
    <row r="33" ht="19" customHeight="1" spans="1:9">
      <c r="A33" s="66">
        <v>28</v>
      </c>
      <c r="B33" s="72" t="s">
        <v>1186</v>
      </c>
      <c r="C33" s="88" t="s">
        <v>876</v>
      </c>
      <c r="D33" s="66">
        <v>1</v>
      </c>
      <c r="E33" s="122" t="s">
        <v>396</v>
      </c>
      <c r="F33" s="66" t="s">
        <v>331</v>
      </c>
      <c r="G33" s="69"/>
      <c r="H33" s="66" t="s">
        <v>1187</v>
      </c>
      <c r="I33" s="69"/>
    </row>
    <row r="34" ht="19" customHeight="1" spans="1:9">
      <c r="A34" s="66">
        <v>29</v>
      </c>
      <c r="B34" s="72" t="s">
        <v>1186</v>
      </c>
      <c r="C34" s="88" t="s">
        <v>878</v>
      </c>
      <c r="D34" s="66">
        <v>1</v>
      </c>
      <c r="E34" s="122" t="s">
        <v>396</v>
      </c>
      <c r="F34" s="66" t="s">
        <v>331</v>
      </c>
      <c r="G34" s="69"/>
      <c r="H34" s="66" t="s">
        <v>1187</v>
      </c>
      <c r="I34" s="69"/>
    </row>
    <row r="35" ht="19" customHeight="1" spans="1:9">
      <c r="A35" s="66">
        <v>30</v>
      </c>
      <c r="B35" s="72" t="s">
        <v>1146</v>
      </c>
      <c r="C35" s="88" t="s">
        <v>880</v>
      </c>
      <c r="D35" s="66">
        <v>1</v>
      </c>
      <c r="E35" s="122" t="s">
        <v>396</v>
      </c>
      <c r="F35" s="66" t="s">
        <v>331</v>
      </c>
      <c r="G35" s="69"/>
      <c r="H35" s="66" t="s">
        <v>1188</v>
      </c>
      <c r="I35" s="69"/>
    </row>
    <row r="36" ht="19" customHeight="1" spans="1:9">
      <c r="A36" s="66">
        <v>31</v>
      </c>
      <c r="B36" s="72" t="s">
        <v>1186</v>
      </c>
      <c r="C36" s="88" t="s">
        <v>882</v>
      </c>
      <c r="D36" s="66">
        <v>1</v>
      </c>
      <c r="E36" s="122"/>
      <c r="F36" s="66"/>
      <c r="G36" s="69"/>
      <c r="H36" s="66"/>
      <c r="I36" s="69"/>
    </row>
    <row r="37" ht="19" customHeight="1" spans="1:9">
      <c r="A37" s="66">
        <v>32</v>
      </c>
      <c r="B37" s="72" t="s">
        <v>1146</v>
      </c>
      <c r="C37" s="88" t="s">
        <v>882</v>
      </c>
      <c r="D37" s="66"/>
      <c r="E37" s="122"/>
      <c r="F37" s="66"/>
      <c r="G37" s="69"/>
      <c r="H37" s="66" t="s">
        <v>1189</v>
      </c>
      <c r="I37" s="69"/>
    </row>
    <row r="38" ht="21" customHeight="1" spans="1:9">
      <c r="A38" s="66">
        <v>33</v>
      </c>
      <c r="B38" s="72" t="s">
        <v>1146</v>
      </c>
      <c r="C38" s="88" t="s">
        <v>885</v>
      </c>
      <c r="D38" s="66">
        <v>1</v>
      </c>
      <c r="E38" s="122" t="s">
        <v>396</v>
      </c>
      <c r="F38" s="66" t="s">
        <v>331</v>
      </c>
      <c r="G38" s="69"/>
      <c r="H38" s="66" t="s">
        <v>1190</v>
      </c>
      <c r="I38" s="69"/>
    </row>
    <row r="39" ht="21" customHeight="1" spans="1:9">
      <c r="A39" s="66">
        <v>34</v>
      </c>
      <c r="B39" s="72" t="s">
        <v>1146</v>
      </c>
      <c r="C39" s="88" t="s">
        <v>887</v>
      </c>
      <c r="D39" s="66">
        <v>1</v>
      </c>
      <c r="E39" s="122" t="s">
        <v>396</v>
      </c>
      <c r="F39" s="66" t="s">
        <v>331</v>
      </c>
      <c r="G39" s="69"/>
      <c r="H39" s="66" t="s">
        <v>1191</v>
      </c>
      <c r="I39" s="69"/>
    </row>
    <row r="40" ht="21" customHeight="1" spans="1:9">
      <c r="A40" s="66">
        <v>35</v>
      </c>
      <c r="B40" s="72" t="s">
        <v>1146</v>
      </c>
      <c r="C40" s="88" t="s">
        <v>889</v>
      </c>
      <c r="D40" s="66">
        <v>1</v>
      </c>
      <c r="E40" s="122" t="s">
        <v>396</v>
      </c>
      <c r="F40" s="66" t="s">
        <v>331</v>
      </c>
      <c r="G40" s="69"/>
      <c r="H40" s="66" t="s">
        <v>1191</v>
      </c>
      <c r="I40" s="69"/>
    </row>
    <row r="41" ht="21" customHeight="1" spans="1:9">
      <c r="A41" s="66">
        <v>36</v>
      </c>
      <c r="B41" s="72" t="s">
        <v>1186</v>
      </c>
      <c r="C41" s="88" t="s">
        <v>882</v>
      </c>
      <c r="D41" s="66">
        <v>1</v>
      </c>
      <c r="E41" s="122" t="s">
        <v>396</v>
      </c>
      <c r="F41" s="66" t="s">
        <v>331</v>
      </c>
      <c r="G41" s="69"/>
      <c r="H41" s="66" t="s">
        <v>1081</v>
      </c>
      <c r="I41" s="69"/>
    </row>
    <row r="42" ht="21" customHeight="1" spans="1:9">
      <c r="A42" s="66">
        <v>37</v>
      </c>
      <c r="B42" s="72" t="s">
        <v>1186</v>
      </c>
      <c r="C42" s="88" t="s">
        <v>885</v>
      </c>
      <c r="D42" s="66">
        <v>1</v>
      </c>
      <c r="E42" s="122" t="s">
        <v>396</v>
      </c>
      <c r="F42" s="66" t="s">
        <v>331</v>
      </c>
      <c r="G42" s="69"/>
      <c r="H42" s="66" t="s">
        <v>1081</v>
      </c>
      <c r="I42" s="69"/>
    </row>
    <row r="43" ht="21" customHeight="1" spans="1:9">
      <c r="A43" s="66">
        <v>38</v>
      </c>
      <c r="B43" s="72" t="s">
        <v>1186</v>
      </c>
      <c r="C43" s="88" t="s">
        <v>887</v>
      </c>
      <c r="D43" s="66">
        <v>1</v>
      </c>
      <c r="E43" s="122" t="s">
        <v>396</v>
      </c>
      <c r="F43" s="66" t="s">
        <v>331</v>
      </c>
      <c r="G43" s="69"/>
      <c r="H43" s="66" t="s">
        <v>1081</v>
      </c>
      <c r="I43" s="69"/>
    </row>
    <row r="44" ht="21" customHeight="1" spans="1:9">
      <c r="A44" s="66">
        <v>39</v>
      </c>
      <c r="B44" s="72" t="s">
        <v>1186</v>
      </c>
      <c r="C44" s="88" t="s">
        <v>889</v>
      </c>
      <c r="D44" s="66">
        <v>1</v>
      </c>
      <c r="E44" s="122" t="s">
        <v>396</v>
      </c>
      <c r="F44" s="66" t="s">
        <v>331</v>
      </c>
      <c r="G44" s="69"/>
      <c r="H44" s="66" t="s">
        <v>1081</v>
      </c>
      <c r="I44" s="69"/>
    </row>
    <row r="45" ht="21" customHeight="1" spans="1:9">
      <c r="A45" s="66">
        <v>40</v>
      </c>
      <c r="B45" s="72" t="s">
        <v>1192</v>
      </c>
      <c r="C45" s="88" t="s">
        <v>1193</v>
      </c>
      <c r="D45" s="66"/>
      <c r="E45" s="69"/>
      <c r="F45" s="66"/>
      <c r="G45" s="69"/>
      <c r="H45" s="66" t="s">
        <v>1194</v>
      </c>
      <c r="I45" s="69"/>
    </row>
    <row r="46" ht="21" customHeight="1" spans="1:9">
      <c r="A46" s="66">
        <v>41</v>
      </c>
      <c r="B46" s="72" t="s">
        <v>1146</v>
      </c>
      <c r="C46" s="88" t="s">
        <v>1195</v>
      </c>
      <c r="D46" s="66"/>
      <c r="E46" s="69"/>
      <c r="F46" s="66"/>
      <c r="G46" s="69"/>
      <c r="H46" s="66" t="s">
        <v>127</v>
      </c>
      <c r="I46" s="69"/>
    </row>
    <row r="47" ht="21" customHeight="1" spans="1:9">
      <c r="A47" s="66">
        <v>42</v>
      </c>
      <c r="B47" s="72" t="s">
        <v>1146</v>
      </c>
      <c r="C47" s="88" t="s">
        <v>1195</v>
      </c>
      <c r="D47" s="66"/>
      <c r="E47" s="69"/>
      <c r="F47" s="66"/>
      <c r="G47" s="69"/>
      <c r="H47" s="66" t="s">
        <v>127</v>
      </c>
      <c r="I47" s="69"/>
    </row>
    <row r="48" ht="21" customHeight="1" spans="1:9">
      <c r="A48" s="66">
        <v>43</v>
      </c>
      <c r="B48" s="72" t="s">
        <v>1146</v>
      </c>
      <c r="C48" s="88" t="s">
        <v>1195</v>
      </c>
      <c r="D48" s="66"/>
      <c r="E48" s="69"/>
      <c r="F48" s="66"/>
      <c r="G48" s="69"/>
      <c r="H48" s="66" t="s">
        <v>127</v>
      </c>
      <c r="I48" s="69"/>
    </row>
    <row r="49" ht="21" customHeight="1" spans="1:9">
      <c r="A49" s="66">
        <v>44</v>
      </c>
      <c r="B49" s="72" t="s">
        <v>1192</v>
      </c>
      <c r="C49" s="88" t="s">
        <v>1196</v>
      </c>
      <c r="D49" s="66"/>
      <c r="E49" s="69"/>
      <c r="F49" s="66"/>
      <c r="G49" s="69"/>
      <c r="H49" s="66" t="s">
        <v>1197</v>
      </c>
      <c r="I49" s="69"/>
    </row>
    <row r="50" ht="21" customHeight="1" spans="1:9">
      <c r="A50" s="66">
        <v>45</v>
      </c>
      <c r="B50" s="72" t="s">
        <v>1192</v>
      </c>
      <c r="C50" s="88" t="s">
        <v>1198</v>
      </c>
      <c r="D50" s="66"/>
      <c r="E50" s="69"/>
      <c r="F50" s="66"/>
      <c r="G50" s="69"/>
      <c r="H50" s="66" t="s">
        <v>1197</v>
      </c>
      <c r="I50" s="69"/>
    </row>
    <row r="51" ht="21" customHeight="1" spans="1:9">
      <c r="A51" s="66">
        <v>46</v>
      </c>
      <c r="B51" s="72" t="s">
        <v>1192</v>
      </c>
      <c r="C51" s="88" t="s">
        <v>1199</v>
      </c>
      <c r="D51" s="66"/>
      <c r="E51" s="69"/>
      <c r="F51" s="66"/>
      <c r="G51" s="69"/>
      <c r="H51" s="66" t="s">
        <v>1197</v>
      </c>
      <c r="I51" s="69"/>
    </row>
    <row r="52" ht="21" customHeight="1" spans="1:9">
      <c r="A52" s="66">
        <v>47</v>
      </c>
      <c r="B52" s="72" t="s">
        <v>1192</v>
      </c>
      <c r="C52" s="88" t="s">
        <v>1200</v>
      </c>
      <c r="D52" s="66"/>
      <c r="E52" s="69"/>
      <c r="F52" s="66"/>
      <c r="G52" s="69"/>
      <c r="H52" s="66" t="s">
        <v>1197</v>
      </c>
      <c r="I52" s="69"/>
    </row>
    <row r="53" ht="21" customHeight="1" spans="1:9">
      <c r="A53" s="66">
        <v>48</v>
      </c>
      <c r="B53" s="72" t="s">
        <v>1146</v>
      </c>
      <c r="C53" s="88" t="s">
        <v>1201</v>
      </c>
      <c r="D53" s="66"/>
      <c r="E53" s="69"/>
      <c r="F53" s="66"/>
      <c r="G53" s="69"/>
      <c r="H53" s="66" t="s">
        <v>1202</v>
      </c>
      <c r="I53" s="69"/>
    </row>
    <row r="54" ht="21" customHeight="1" spans="1:9">
      <c r="A54" s="66">
        <v>49</v>
      </c>
      <c r="B54" s="72" t="s">
        <v>1146</v>
      </c>
      <c r="C54" s="88" t="s">
        <v>1203</v>
      </c>
      <c r="D54" s="66"/>
      <c r="E54" s="69"/>
      <c r="F54" s="66"/>
      <c r="G54" s="69"/>
      <c r="H54" s="66" t="s">
        <v>1202</v>
      </c>
      <c r="I54" s="69"/>
    </row>
    <row r="55" ht="21" customHeight="1" spans="1:9">
      <c r="A55" s="66">
        <v>50</v>
      </c>
      <c r="B55" s="72" t="s">
        <v>1192</v>
      </c>
      <c r="C55" s="88" t="s">
        <v>1204</v>
      </c>
      <c r="D55" s="66"/>
      <c r="E55" s="69"/>
      <c r="F55" s="66"/>
      <c r="G55" s="69"/>
      <c r="H55" s="66" t="s">
        <v>1202</v>
      </c>
      <c r="I55" s="69"/>
    </row>
    <row r="56" ht="41" customHeight="1" spans="1:9">
      <c r="A56" s="66">
        <v>1</v>
      </c>
      <c r="B56" s="72" t="s">
        <v>1205</v>
      </c>
      <c r="C56" s="125" t="s">
        <v>1206</v>
      </c>
      <c r="D56" s="66">
        <v>1</v>
      </c>
      <c r="E56" s="122" t="s">
        <v>396</v>
      </c>
      <c r="F56" s="66" t="s">
        <v>331</v>
      </c>
      <c r="G56" s="69"/>
      <c r="H56" s="66" t="s">
        <v>1065</v>
      </c>
      <c r="I56" s="69"/>
    </row>
    <row r="57" ht="32" customHeight="1" spans="1:9">
      <c r="A57" s="66">
        <v>2</v>
      </c>
      <c r="B57" s="72" t="s">
        <v>1205</v>
      </c>
      <c r="C57" s="125" t="s">
        <v>1207</v>
      </c>
      <c r="D57" s="66">
        <v>1</v>
      </c>
      <c r="E57" s="122" t="s">
        <v>396</v>
      </c>
      <c r="F57" s="66" t="s">
        <v>331</v>
      </c>
      <c r="G57" s="69"/>
      <c r="H57" s="66" t="s">
        <v>1081</v>
      </c>
      <c r="I57" s="69"/>
    </row>
    <row r="58" ht="29" customHeight="1" spans="1:9">
      <c r="A58" s="66">
        <v>3</v>
      </c>
      <c r="B58" s="72" t="s">
        <v>1205</v>
      </c>
      <c r="C58" s="125" t="s">
        <v>1208</v>
      </c>
      <c r="D58" s="66">
        <v>2</v>
      </c>
      <c r="E58" s="122" t="s">
        <v>396</v>
      </c>
      <c r="F58" s="66" t="s">
        <v>331</v>
      </c>
      <c r="G58" s="69"/>
      <c r="H58" s="66" t="s">
        <v>1209</v>
      </c>
      <c r="I58" s="69"/>
    </row>
    <row r="59" ht="29" customHeight="1" spans="1:9">
      <c r="A59" s="66"/>
      <c r="B59" s="67" t="s">
        <v>220</v>
      </c>
      <c r="C59" s="67"/>
      <c r="D59" s="67"/>
      <c r="E59" s="67"/>
      <c r="F59" s="67"/>
      <c r="G59" s="67"/>
      <c r="H59" s="67"/>
      <c r="I59" s="67"/>
    </row>
    <row r="60" ht="37" customHeight="1" spans="1:9">
      <c r="A60" s="66">
        <v>4</v>
      </c>
      <c r="B60" s="72" t="s">
        <v>1205</v>
      </c>
      <c r="C60" s="125" t="s">
        <v>1210</v>
      </c>
      <c r="D60" s="66">
        <v>2</v>
      </c>
      <c r="E60" s="122" t="s">
        <v>396</v>
      </c>
      <c r="F60" s="66" t="s">
        <v>331</v>
      </c>
      <c r="G60" s="69"/>
      <c r="H60" s="66" t="s">
        <v>1211</v>
      </c>
      <c r="I60" s="69"/>
    </row>
    <row r="61" ht="28.5" spans="1:9">
      <c r="A61" s="69"/>
      <c r="B61" s="72" t="s">
        <v>1205</v>
      </c>
      <c r="C61" s="125" t="s">
        <v>1212</v>
      </c>
      <c r="D61" s="66">
        <v>2</v>
      </c>
      <c r="E61" s="122" t="s">
        <v>396</v>
      </c>
      <c r="F61" s="66" t="s">
        <v>331</v>
      </c>
      <c r="G61" s="69"/>
      <c r="H61" s="66" t="s">
        <v>1213</v>
      </c>
      <c r="I61" s="69"/>
    </row>
    <row r="62" spans="1:9">
      <c r="A62" s="69"/>
      <c r="B62" s="72" t="s">
        <v>1146</v>
      </c>
      <c r="C62" s="88" t="s">
        <v>1214</v>
      </c>
      <c r="D62" s="66">
        <v>2</v>
      </c>
      <c r="E62" s="122" t="s">
        <v>396</v>
      </c>
      <c r="F62" s="66" t="s">
        <v>331</v>
      </c>
      <c r="G62" s="69"/>
      <c r="H62" s="66" t="s">
        <v>1215</v>
      </c>
      <c r="I62" s="69"/>
    </row>
    <row r="63" spans="1:9">
      <c r="A63" s="69"/>
      <c r="B63" s="72" t="s">
        <v>1146</v>
      </c>
      <c r="C63" s="88" t="s">
        <v>1216</v>
      </c>
      <c r="D63" s="66">
        <v>2</v>
      </c>
      <c r="E63" s="122" t="s">
        <v>396</v>
      </c>
      <c r="F63" s="66" t="s">
        <v>331</v>
      </c>
      <c r="G63" s="69"/>
      <c r="H63" s="66"/>
      <c r="I63" s="69"/>
    </row>
    <row r="64" spans="1:9">
      <c r="A64" s="69"/>
      <c r="B64" s="72" t="s">
        <v>1146</v>
      </c>
      <c r="C64" s="88" t="s">
        <v>1217</v>
      </c>
      <c r="D64" s="66">
        <v>2</v>
      </c>
      <c r="E64" s="122" t="s">
        <v>396</v>
      </c>
      <c r="F64" s="66" t="s">
        <v>331</v>
      </c>
      <c r="G64" s="69"/>
      <c r="H64" s="66" t="s">
        <v>1218</v>
      </c>
      <c r="I64" s="69" t="s">
        <v>48</v>
      </c>
    </row>
    <row r="65" spans="1:9">
      <c r="A65" s="69"/>
      <c r="B65" s="72" t="s">
        <v>1146</v>
      </c>
      <c r="C65" s="88" t="s">
        <v>1219</v>
      </c>
      <c r="D65" s="66">
        <v>2</v>
      </c>
      <c r="E65" s="122" t="s">
        <v>396</v>
      </c>
      <c r="F65" s="66" t="s">
        <v>331</v>
      </c>
      <c r="G65" s="69"/>
      <c r="H65" s="66" t="s">
        <v>477</v>
      </c>
      <c r="I65" s="69"/>
    </row>
  </sheetData>
  <mergeCells count="5">
    <mergeCell ref="A1:I1"/>
    <mergeCell ref="A3:I3"/>
    <mergeCell ref="A15:I15"/>
    <mergeCell ref="A25:I25"/>
    <mergeCell ref="B59:I59"/>
  </mergeCells>
  <pageMargins left="0.751388888888889" right="0.751388888888889" top="1" bottom="1" header="0.507638888888889" footer="0.507638888888889"/>
  <pageSetup paperSize="9" orientation="landscape"/>
  <headerFooter>
    <oddFooter>&amp;C第 &amp;P 页，共 &amp;N 页</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8"/>
  <sheetViews>
    <sheetView topLeftCell="B1" workbookViewId="0">
      <selection activeCell="O14" sqref="O14"/>
    </sheetView>
  </sheetViews>
  <sheetFormatPr defaultColWidth="9" defaultRowHeight="14.25"/>
  <cols>
    <col min="1" max="1" width="5.875" style="7" customWidth="1"/>
    <col min="2" max="2" width="22.25" style="16" customWidth="1"/>
    <col min="3" max="3" width="5.75" style="17" customWidth="1"/>
    <col min="4" max="4" width="7" style="7" customWidth="1"/>
    <col min="5" max="5" width="17.75" style="16" customWidth="1"/>
    <col min="6" max="6" width="17.5" style="7" customWidth="1"/>
    <col min="7" max="7" width="7.375" style="16" customWidth="1"/>
    <col min="8" max="8" width="8.875" style="7" customWidth="1"/>
    <col min="9" max="9" width="6.625" style="7" customWidth="1"/>
    <col min="10" max="10" width="12.25" style="7" customWidth="1"/>
    <col min="11" max="11" width="6.5" style="17" customWidth="1"/>
    <col min="12" max="12" width="12" customWidth="1"/>
  </cols>
  <sheetData>
    <row r="1" ht="27" spans="1:14">
      <c r="A1" s="92" t="s">
        <v>1220</v>
      </c>
      <c r="B1" s="92"/>
      <c r="C1" s="92"/>
      <c r="D1" s="92"/>
      <c r="E1" s="92"/>
      <c r="F1" s="92"/>
      <c r="G1" s="92"/>
      <c r="H1" s="92"/>
      <c r="I1" s="92"/>
      <c r="J1" s="92"/>
      <c r="K1" s="92"/>
      <c r="L1" s="92"/>
      <c r="M1" s="21"/>
      <c r="N1" s="21"/>
    </row>
    <row r="2" ht="33.95" customHeight="1" spans="1:12">
      <c r="A2" s="2" t="s">
        <v>1</v>
      </c>
      <c r="B2" s="3" t="s">
        <v>2</v>
      </c>
      <c r="C2" s="19" t="s">
        <v>3</v>
      </c>
      <c r="D2" s="2" t="s">
        <v>4</v>
      </c>
      <c r="E2" s="3" t="s">
        <v>5</v>
      </c>
      <c r="F2" s="2" t="s">
        <v>1221</v>
      </c>
      <c r="G2" s="3" t="s">
        <v>251</v>
      </c>
      <c r="H2" s="3" t="s">
        <v>1222</v>
      </c>
      <c r="I2" s="3" t="s">
        <v>60</v>
      </c>
      <c r="J2" s="2" t="s">
        <v>840</v>
      </c>
      <c r="K2" s="22" t="s">
        <v>1223</v>
      </c>
      <c r="L2" s="2" t="s">
        <v>12</v>
      </c>
    </row>
    <row r="3" ht="51" customHeight="1" spans="1:12">
      <c r="A3" s="2">
        <v>1</v>
      </c>
      <c r="B3" s="3" t="s">
        <v>1224</v>
      </c>
      <c r="C3" s="19" t="s">
        <v>1155</v>
      </c>
      <c r="D3" s="27" t="s">
        <v>255</v>
      </c>
      <c r="E3" s="99" t="s">
        <v>256</v>
      </c>
      <c r="F3" s="99" t="s">
        <v>257</v>
      </c>
      <c r="G3" s="99"/>
      <c r="H3" s="27" t="s">
        <v>1225</v>
      </c>
      <c r="I3" s="27"/>
      <c r="J3" s="27" t="s">
        <v>528</v>
      </c>
      <c r="K3" s="100" t="s">
        <v>1154</v>
      </c>
      <c r="L3" s="27"/>
    </row>
    <row r="4" ht="33" customHeight="1" spans="1:12">
      <c r="A4" s="27">
        <v>2</v>
      </c>
      <c r="B4" s="99" t="s">
        <v>1226</v>
      </c>
      <c r="C4" s="100"/>
      <c r="D4" s="27" t="s">
        <v>255</v>
      </c>
      <c r="E4" s="99" t="s">
        <v>256</v>
      </c>
      <c r="F4" s="99" t="s">
        <v>257</v>
      </c>
      <c r="G4" s="99"/>
      <c r="H4" s="27" t="s">
        <v>1225</v>
      </c>
      <c r="I4" s="27"/>
      <c r="J4" s="27" t="s">
        <v>528</v>
      </c>
      <c r="K4" s="100" t="s">
        <v>1154</v>
      </c>
      <c r="L4" s="27"/>
    </row>
    <row r="5" ht="33" customHeight="1" spans="1:12">
      <c r="A5" s="2">
        <v>3</v>
      </c>
      <c r="B5" s="108" t="s">
        <v>1227</v>
      </c>
      <c r="C5" s="19"/>
      <c r="D5" s="2" t="s">
        <v>255</v>
      </c>
      <c r="E5" s="3" t="s">
        <v>256</v>
      </c>
      <c r="F5" s="3" t="s">
        <v>257</v>
      </c>
      <c r="G5" s="3"/>
      <c r="H5" s="2" t="s">
        <v>1225</v>
      </c>
      <c r="I5" s="2"/>
      <c r="J5" s="2" t="s">
        <v>528</v>
      </c>
      <c r="K5" s="100" t="s">
        <v>1154</v>
      </c>
      <c r="L5" s="2"/>
    </row>
    <row r="6" ht="28.5" spans="1:12">
      <c r="A6" s="27">
        <v>4</v>
      </c>
      <c r="B6" s="109" t="s">
        <v>1228</v>
      </c>
      <c r="C6" s="100"/>
      <c r="D6" s="27" t="s">
        <v>255</v>
      </c>
      <c r="E6" s="99" t="s">
        <v>256</v>
      </c>
      <c r="F6" s="99" t="s">
        <v>257</v>
      </c>
      <c r="G6" s="99"/>
      <c r="H6" s="27" t="s">
        <v>1225</v>
      </c>
      <c r="I6" s="27"/>
      <c r="J6" s="27" t="s">
        <v>528</v>
      </c>
      <c r="K6" s="100" t="s">
        <v>1154</v>
      </c>
      <c r="L6" s="27"/>
    </row>
    <row r="7" ht="28.5" spans="1:12">
      <c r="A7" s="2">
        <v>5</v>
      </c>
      <c r="B7" s="3" t="s">
        <v>1229</v>
      </c>
      <c r="C7" s="19"/>
      <c r="D7" s="2" t="s">
        <v>255</v>
      </c>
      <c r="E7" s="3" t="s">
        <v>256</v>
      </c>
      <c r="F7" s="3" t="s">
        <v>257</v>
      </c>
      <c r="G7" s="3"/>
      <c r="H7" s="2" t="s">
        <v>1225</v>
      </c>
      <c r="I7" s="2"/>
      <c r="J7" s="2" t="s">
        <v>528</v>
      </c>
      <c r="K7" s="100" t="s">
        <v>1154</v>
      </c>
      <c r="L7" s="2"/>
    </row>
    <row r="8" ht="32.1" customHeight="1" spans="1:12">
      <c r="A8" s="2">
        <v>10</v>
      </c>
      <c r="B8" s="3" t="s">
        <v>1230</v>
      </c>
      <c r="C8" s="19"/>
      <c r="D8" s="2">
        <v>1</v>
      </c>
      <c r="E8" s="2"/>
      <c r="F8" s="2"/>
      <c r="G8" s="3"/>
      <c r="H8" s="2"/>
      <c r="I8" s="2"/>
      <c r="J8" s="2"/>
      <c r="K8" s="19"/>
      <c r="L8" s="13"/>
    </row>
    <row r="9" ht="32.1" customHeight="1" spans="1:12">
      <c r="A9" s="2">
        <v>11</v>
      </c>
      <c r="B9" s="3" t="s">
        <v>1231</v>
      </c>
      <c r="C9" s="19"/>
      <c r="D9" s="2">
        <v>1</v>
      </c>
      <c r="E9" s="2"/>
      <c r="F9" s="2"/>
      <c r="G9" s="3"/>
      <c r="H9" s="2"/>
      <c r="I9" s="2"/>
      <c r="J9" s="2"/>
      <c r="K9" s="19"/>
      <c r="L9" s="13"/>
    </row>
    <row r="10" ht="21" customHeight="1" spans="1:12">
      <c r="A10" s="27"/>
      <c r="B10" s="3" t="s">
        <v>991</v>
      </c>
      <c r="C10" s="3"/>
      <c r="D10" s="3"/>
      <c r="E10" s="3"/>
      <c r="F10" s="3"/>
      <c r="G10" s="3"/>
      <c r="H10" s="3"/>
      <c r="I10" s="3"/>
      <c r="J10" s="3"/>
      <c r="K10" s="3"/>
      <c r="L10" s="3"/>
    </row>
    <row r="11" ht="32.1" customHeight="1" spans="1:12">
      <c r="A11" s="27">
        <v>6</v>
      </c>
      <c r="B11" s="3" t="s">
        <v>1232</v>
      </c>
      <c r="C11" s="19" t="s">
        <v>1233</v>
      </c>
      <c r="D11" s="2" t="s">
        <v>255</v>
      </c>
      <c r="E11" s="3" t="s">
        <v>1234</v>
      </c>
      <c r="F11" s="2" t="s">
        <v>336</v>
      </c>
      <c r="G11" s="3" t="s">
        <v>286</v>
      </c>
      <c r="H11" s="2" t="s">
        <v>583</v>
      </c>
      <c r="I11" s="2" t="s">
        <v>1235</v>
      </c>
      <c r="J11" s="2" t="s">
        <v>353</v>
      </c>
      <c r="K11" s="19" t="s">
        <v>1154</v>
      </c>
      <c r="L11" s="13"/>
    </row>
    <row r="12" ht="32.1" customHeight="1" spans="1:12">
      <c r="A12" s="2">
        <v>7</v>
      </c>
      <c r="B12" s="3" t="s">
        <v>1236</v>
      </c>
      <c r="C12" s="19" t="s">
        <v>1237</v>
      </c>
      <c r="D12" s="2" t="s">
        <v>255</v>
      </c>
      <c r="E12" s="3" t="s">
        <v>1234</v>
      </c>
      <c r="F12" s="2" t="s">
        <v>336</v>
      </c>
      <c r="G12" s="3" t="s">
        <v>286</v>
      </c>
      <c r="H12" s="2" t="s">
        <v>150</v>
      </c>
      <c r="I12" s="2" t="s">
        <v>580</v>
      </c>
      <c r="J12" s="2" t="s">
        <v>353</v>
      </c>
      <c r="K12" s="19" t="s">
        <v>1154</v>
      </c>
      <c r="L12" s="13"/>
    </row>
    <row r="13" ht="32.1" customHeight="1" spans="1:12">
      <c r="A13" s="2">
        <v>9</v>
      </c>
      <c r="B13" s="3" t="s">
        <v>1238</v>
      </c>
      <c r="C13" s="19"/>
      <c r="D13" s="2">
        <v>2</v>
      </c>
      <c r="E13" s="2" t="s">
        <v>336</v>
      </c>
      <c r="F13" s="2" t="s">
        <v>284</v>
      </c>
      <c r="G13" s="3" t="s">
        <v>286</v>
      </c>
      <c r="H13" s="2" t="s">
        <v>150</v>
      </c>
      <c r="I13" s="2"/>
      <c r="J13" s="2" t="s">
        <v>908</v>
      </c>
      <c r="K13" s="19" t="s">
        <v>1154</v>
      </c>
      <c r="L13" s="13"/>
    </row>
    <row r="14" ht="32.1" customHeight="1" spans="1:12">
      <c r="A14" s="2"/>
      <c r="B14" s="3"/>
      <c r="C14" s="19"/>
      <c r="D14" s="2"/>
      <c r="E14" s="2"/>
      <c r="F14" s="2"/>
      <c r="G14" s="3"/>
      <c r="H14" s="2"/>
      <c r="I14" s="2"/>
      <c r="J14" s="2"/>
      <c r="K14" s="19"/>
      <c r="L14" s="13"/>
    </row>
    <row r="15" ht="32.1" customHeight="1" spans="1:12">
      <c r="A15" s="2"/>
      <c r="B15" s="3"/>
      <c r="C15" s="19"/>
      <c r="D15" s="2"/>
      <c r="E15" s="2"/>
      <c r="F15" s="2"/>
      <c r="G15" s="3"/>
      <c r="H15" s="2"/>
      <c r="I15" s="2"/>
      <c r="J15" s="2"/>
      <c r="K15" s="19"/>
      <c r="L15" s="13"/>
    </row>
    <row r="16" ht="32.1" customHeight="1" spans="1:12">
      <c r="A16" s="2"/>
      <c r="B16" s="3"/>
      <c r="C16" s="19"/>
      <c r="D16" s="2"/>
      <c r="E16" s="2"/>
      <c r="F16" s="2"/>
      <c r="G16" s="3"/>
      <c r="H16" s="2"/>
      <c r="I16" s="2"/>
      <c r="J16" s="2"/>
      <c r="K16" s="19"/>
      <c r="L16" s="13"/>
    </row>
    <row r="17" ht="32.1" customHeight="1" spans="2:2">
      <c r="B17" s="20" t="s">
        <v>1239</v>
      </c>
    </row>
    <row r="18" ht="32.1" customHeight="1"/>
  </sheetData>
  <mergeCells count="2">
    <mergeCell ref="A1:L1"/>
    <mergeCell ref="B10:L10"/>
  </mergeCells>
  <pageMargins left="0.235416666666667" right="0.196527777777778" top="0.313888888888889" bottom="0.15625" header="0.235416666666667" footer="0.196527777777778"/>
  <pageSetup paperSize="9" orientation="landscape"/>
  <headerFooter>
    <oddFooter>&amp;C第 &amp;P 页，共 &amp;N 页</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5"/>
  <sheetViews>
    <sheetView topLeftCell="A4" workbookViewId="0">
      <selection activeCell="B20" sqref="B20"/>
    </sheetView>
  </sheetViews>
  <sheetFormatPr defaultColWidth="9" defaultRowHeight="14.25"/>
  <cols>
    <col min="1" max="1" width="5.875" style="7" customWidth="1"/>
    <col min="2" max="2" width="22.25" style="16" customWidth="1"/>
    <col min="3" max="3" width="13" style="17" customWidth="1"/>
    <col min="4" max="4" width="7" style="7" customWidth="1"/>
    <col min="5" max="5" width="17.75" style="7" customWidth="1"/>
    <col min="6" max="6" width="17.5" style="7" customWidth="1"/>
    <col min="7" max="7" width="8.875" style="7" customWidth="1"/>
    <col min="8" max="8" width="14" style="7" customWidth="1"/>
    <col min="9" max="9" width="12.25" style="7" customWidth="1"/>
    <col min="10" max="10" width="7.25" customWidth="1"/>
    <col min="14" max="14" width="12.875"/>
    <col min="15" max="15" width="9.375"/>
  </cols>
  <sheetData>
    <row r="1" ht="27" spans="1:12">
      <c r="A1" s="92" t="s">
        <v>1240</v>
      </c>
      <c r="B1" s="92"/>
      <c r="C1" s="92"/>
      <c r="D1" s="92"/>
      <c r="E1" s="92"/>
      <c r="F1" s="92"/>
      <c r="G1" s="92"/>
      <c r="H1" s="92"/>
      <c r="I1" s="92"/>
      <c r="J1" s="92"/>
      <c r="K1" s="21"/>
      <c r="L1" s="21"/>
    </row>
    <row r="2" ht="28.5" spans="1:10">
      <c r="A2" s="2" t="s">
        <v>1</v>
      </c>
      <c r="B2" s="3" t="s">
        <v>2</v>
      </c>
      <c r="C2" s="19" t="s">
        <v>3</v>
      </c>
      <c r="D2" s="2" t="s">
        <v>4</v>
      </c>
      <c r="E2" s="2" t="s">
        <v>5</v>
      </c>
      <c r="F2" s="2" t="s">
        <v>1221</v>
      </c>
      <c r="G2" s="3" t="s">
        <v>1222</v>
      </c>
      <c r="H2" s="3" t="s">
        <v>60</v>
      </c>
      <c r="I2" s="2" t="s">
        <v>840</v>
      </c>
      <c r="J2" s="27" t="s">
        <v>12</v>
      </c>
    </row>
    <row r="3" ht="28.5" spans="1:10">
      <c r="A3" s="2"/>
      <c r="B3" s="3" t="s">
        <v>841</v>
      </c>
      <c r="C3" s="19" t="s">
        <v>1241</v>
      </c>
      <c r="D3" s="2">
        <v>1</v>
      </c>
      <c r="E3" s="3" t="s">
        <v>256</v>
      </c>
      <c r="F3" s="3" t="s">
        <v>257</v>
      </c>
      <c r="G3" s="3"/>
      <c r="H3" s="3"/>
      <c r="I3" s="2" t="s">
        <v>1242</v>
      </c>
      <c r="J3" s="105" t="s">
        <v>1243</v>
      </c>
    </row>
    <row r="4" ht="28.5" spans="1:10">
      <c r="A4" s="2">
        <v>1</v>
      </c>
      <c r="B4" s="3" t="s">
        <v>1244</v>
      </c>
      <c r="C4" s="19" t="s">
        <v>1151</v>
      </c>
      <c r="D4" s="2" t="s">
        <v>1245</v>
      </c>
      <c r="E4" s="3" t="s">
        <v>256</v>
      </c>
      <c r="F4" s="3" t="s">
        <v>257</v>
      </c>
      <c r="G4" s="2" t="s">
        <v>565</v>
      </c>
      <c r="H4" s="2"/>
      <c r="I4" s="2" t="s">
        <v>1246</v>
      </c>
      <c r="J4" s="13"/>
    </row>
    <row r="5" ht="28.5" spans="1:10">
      <c r="A5" s="2">
        <v>2</v>
      </c>
      <c r="B5" s="3" t="s">
        <v>1247</v>
      </c>
      <c r="C5" s="19" t="s">
        <v>1147</v>
      </c>
      <c r="D5" s="2" t="s">
        <v>255</v>
      </c>
      <c r="E5" s="3" t="s">
        <v>256</v>
      </c>
      <c r="F5" s="3" t="s">
        <v>257</v>
      </c>
      <c r="G5" s="2" t="s">
        <v>565</v>
      </c>
      <c r="H5" s="2"/>
      <c r="I5" s="2" t="s">
        <v>1246</v>
      </c>
      <c r="J5" s="13"/>
    </row>
    <row r="6" ht="28.5" spans="1:14">
      <c r="A6" s="2">
        <v>3</v>
      </c>
      <c r="B6" s="3" t="s">
        <v>1248</v>
      </c>
      <c r="C6" s="19" t="s">
        <v>1147</v>
      </c>
      <c r="D6" s="2" t="s">
        <v>255</v>
      </c>
      <c r="E6" s="3" t="s">
        <v>256</v>
      </c>
      <c r="F6" s="3" t="s">
        <v>257</v>
      </c>
      <c r="G6" s="2" t="s">
        <v>565</v>
      </c>
      <c r="H6" s="2"/>
      <c r="I6" s="2" t="s">
        <v>1246</v>
      </c>
      <c r="J6" s="13"/>
      <c r="N6" s="106"/>
    </row>
    <row r="7" ht="28.5" spans="1:10">
      <c r="A7" s="2">
        <v>4</v>
      </c>
      <c r="B7" s="3" t="s">
        <v>1249</v>
      </c>
      <c r="C7" s="19"/>
      <c r="D7" s="2" t="s">
        <v>255</v>
      </c>
      <c r="E7" s="3" t="s">
        <v>256</v>
      </c>
      <c r="F7" s="3" t="s">
        <v>257</v>
      </c>
      <c r="G7" s="2" t="s">
        <v>565</v>
      </c>
      <c r="H7" s="2"/>
      <c r="I7" s="2" t="s">
        <v>1246</v>
      </c>
      <c r="J7" s="13"/>
    </row>
    <row r="8" ht="28.5" spans="1:10">
      <c r="A8" s="2">
        <v>5</v>
      </c>
      <c r="B8" s="3" t="s">
        <v>1250</v>
      </c>
      <c r="C8" s="19"/>
      <c r="D8" s="2" t="s">
        <v>255</v>
      </c>
      <c r="E8" s="3" t="s">
        <v>256</v>
      </c>
      <c r="F8" s="3" t="s">
        <v>257</v>
      </c>
      <c r="G8" s="2" t="s">
        <v>565</v>
      </c>
      <c r="H8" s="2"/>
      <c r="I8" s="2" t="s">
        <v>1246</v>
      </c>
      <c r="J8" s="13"/>
    </row>
    <row r="9" ht="28.5" spans="1:10">
      <c r="A9" s="2">
        <v>6</v>
      </c>
      <c r="B9" s="3" t="s">
        <v>1251</v>
      </c>
      <c r="C9" s="19"/>
      <c r="D9" s="2" t="s">
        <v>255</v>
      </c>
      <c r="E9" s="3" t="s">
        <v>256</v>
      </c>
      <c r="F9" s="3" t="s">
        <v>257</v>
      </c>
      <c r="G9" s="2" t="s">
        <v>565</v>
      </c>
      <c r="H9" s="2"/>
      <c r="I9" s="2" t="s">
        <v>1246</v>
      </c>
      <c r="J9" s="13"/>
    </row>
    <row r="10" ht="28.5" spans="1:10">
      <c r="A10" s="2">
        <v>7</v>
      </c>
      <c r="B10" s="3" t="s">
        <v>1252</v>
      </c>
      <c r="C10" s="19"/>
      <c r="D10" s="2" t="s">
        <v>255</v>
      </c>
      <c r="E10" s="3" t="s">
        <v>256</v>
      </c>
      <c r="F10" s="3" t="s">
        <v>257</v>
      </c>
      <c r="G10" s="2" t="s">
        <v>565</v>
      </c>
      <c r="H10" s="2"/>
      <c r="I10" s="2" t="s">
        <v>1246</v>
      </c>
      <c r="J10" s="13"/>
    </row>
    <row r="11" ht="28.5" spans="1:10">
      <c r="A11" s="2">
        <v>8</v>
      </c>
      <c r="B11" s="3" t="s">
        <v>1253</v>
      </c>
      <c r="C11" s="19"/>
      <c r="D11" s="2" t="s">
        <v>255</v>
      </c>
      <c r="E11" s="3" t="s">
        <v>256</v>
      </c>
      <c r="F11" s="3" t="s">
        <v>257</v>
      </c>
      <c r="G11" s="2" t="s">
        <v>565</v>
      </c>
      <c r="H11" s="2"/>
      <c r="I11" s="2" t="s">
        <v>1246</v>
      </c>
      <c r="J11" s="13"/>
    </row>
    <row r="12" ht="28.5" spans="1:10">
      <c r="A12" s="2">
        <v>9</v>
      </c>
      <c r="B12" s="3" t="s">
        <v>1254</v>
      </c>
      <c r="C12" s="19"/>
      <c r="D12" s="2" t="s">
        <v>255</v>
      </c>
      <c r="E12" s="3" t="s">
        <v>256</v>
      </c>
      <c r="F12" s="3" t="s">
        <v>257</v>
      </c>
      <c r="G12" s="2" t="s">
        <v>565</v>
      </c>
      <c r="H12" s="2"/>
      <c r="I12" s="2" t="s">
        <v>1246</v>
      </c>
      <c r="J12" s="13"/>
    </row>
    <row r="13" ht="28.5" spans="1:10">
      <c r="A13" s="2">
        <v>10</v>
      </c>
      <c r="B13" s="3" t="s">
        <v>1255</v>
      </c>
      <c r="C13" s="19"/>
      <c r="D13" s="2" t="s">
        <v>255</v>
      </c>
      <c r="E13" s="3" t="s">
        <v>256</v>
      </c>
      <c r="F13" s="3" t="s">
        <v>257</v>
      </c>
      <c r="G13" s="2" t="s">
        <v>565</v>
      </c>
      <c r="H13" s="2"/>
      <c r="I13" s="2" t="s">
        <v>1246</v>
      </c>
      <c r="J13" s="13"/>
    </row>
    <row r="14" ht="99.75" spans="1:10">
      <c r="A14" s="2">
        <v>11</v>
      </c>
      <c r="B14" s="3" t="s">
        <v>1256</v>
      </c>
      <c r="C14" s="19"/>
      <c r="D14" s="2" t="s">
        <v>255</v>
      </c>
      <c r="E14" s="3" t="s">
        <v>256</v>
      </c>
      <c r="F14" s="3" t="s">
        <v>257</v>
      </c>
      <c r="G14" s="2" t="s">
        <v>565</v>
      </c>
      <c r="H14" s="2"/>
      <c r="I14" s="2" t="s">
        <v>1246</v>
      </c>
      <c r="J14" s="13"/>
    </row>
    <row r="15" ht="57" spans="1:10">
      <c r="A15" s="2">
        <v>12</v>
      </c>
      <c r="B15" s="3" t="s">
        <v>1257</v>
      </c>
      <c r="C15" s="19"/>
      <c r="D15" s="2" t="s">
        <v>255</v>
      </c>
      <c r="E15" s="3" t="s">
        <v>256</v>
      </c>
      <c r="F15" s="3" t="s">
        <v>257</v>
      </c>
      <c r="G15" s="2" t="s">
        <v>565</v>
      </c>
      <c r="H15" s="2"/>
      <c r="I15" s="2" t="s">
        <v>1246</v>
      </c>
      <c r="J15" s="13"/>
    </row>
    <row r="16" ht="42.75" spans="1:10">
      <c r="A16" s="2">
        <v>13</v>
      </c>
      <c r="B16" s="3" t="s">
        <v>1258</v>
      </c>
      <c r="C16" s="19"/>
      <c r="D16" s="2" t="s">
        <v>255</v>
      </c>
      <c r="E16" s="3" t="s">
        <v>256</v>
      </c>
      <c r="F16" s="3" t="s">
        <v>257</v>
      </c>
      <c r="G16" s="2" t="s">
        <v>565</v>
      </c>
      <c r="H16" s="2"/>
      <c r="I16" s="2" t="s">
        <v>1246</v>
      </c>
      <c r="J16" s="13"/>
    </row>
    <row r="17" ht="42.75" spans="1:10">
      <c r="A17" s="2">
        <v>14</v>
      </c>
      <c r="B17" s="3" t="s">
        <v>1259</v>
      </c>
      <c r="C17" s="19"/>
      <c r="D17" s="2" t="s">
        <v>255</v>
      </c>
      <c r="E17" s="3" t="s">
        <v>256</v>
      </c>
      <c r="F17" s="3" t="s">
        <v>257</v>
      </c>
      <c r="G17" s="2" t="s">
        <v>565</v>
      </c>
      <c r="H17" s="2"/>
      <c r="I17" s="2" t="s">
        <v>1246</v>
      </c>
      <c r="J17" s="13"/>
    </row>
    <row r="18" ht="28.5" spans="1:10">
      <c r="A18" s="2">
        <v>15</v>
      </c>
      <c r="B18" s="3" t="s">
        <v>1260</v>
      </c>
      <c r="C18" s="19"/>
      <c r="D18" s="2" t="s">
        <v>255</v>
      </c>
      <c r="E18" s="3" t="s">
        <v>256</v>
      </c>
      <c r="F18" s="3" t="s">
        <v>257</v>
      </c>
      <c r="G18" s="2" t="s">
        <v>565</v>
      </c>
      <c r="H18" s="2"/>
      <c r="I18" s="2" t="s">
        <v>1246</v>
      </c>
      <c r="J18" s="13"/>
    </row>
    <row r="19" ht="42.75" spans="1:10">
      <c r="A19" s="2">
        <v>16</v>
      </c>
      <c r="B19" s="99" t="s">
        <v>1261</v>
      </c>
      <c r="C19" s="100"/>
      <c r="D19" s="2" t="s">
        <v>255</v>
      </c>
      <c r="E19" s="3" t="s">
        <v>256</v>
      </c>
      <c r="F19" s="3" t="s">
        <v>257</v>
      </c>
      <c r="G19" s="2" t="s">
        <v>565</v>
      </c>
      <c r="H19" s="27"/>
      <c r="I19" s="2" t="s">
        <v>1246</v>
      </c>
      <c r="J19" s="13"/>
    </row>
    <row r="20" ht="57" spans="1:10">
      <c r="A20" s="2">
        <v>17</v>
      </c>
      <c r="B20" s="3" t="s">
        <v>1262</v>
      </c>
      <c r="C20" s="19"/>
      <c r="D20" s="2" t="s">
        <v>255</v>
      </c>
      <c r="E20" s="3" t="s">
        <v>256</v>
      </c>
      <c r="F20" s="3" t="s">
        <v>257</v>
      </c>
      <c r="G20" s="2" t="s">
        <v>565</v>
      </c>
      <c r="H20" s="2"/>
      <c r="I20" s="2" t="s">
        <v>1246</v>
      </c>
      <c r="J20" s="13"/>
    </row>
    <row r="21" ht="42.75" spans="1:10">
      <c r="A21" s="2">
        <v>18</v>
      </c>
      <c r="B21" s="3" t="s">
        <v>1263</v>
      </c>
      <c r="C21" s="19"/>
      <c r="D21" s="2" t="s">
        <v>255</v>
      </c>
      <c r="E21" s="3" t="s">
        <v>256</v>
      </c>
      <c r="F21" s="3" t="s">
        <v>257</v>
      </c>
      <c r="G21" s="2" t="s">
        <v>565</v>
      </c>
      <c r="H21" s="2"/>
      <c r="I21" s="2" t="s">
        <v>1246</v>
      </c>
      <c r="J21" s="13"/>
    </row>
    <row r="22" ht="42.75" spans="1:10">
      <c r="A22" s="2">
        <v>19</v>
      </c>
      <c r="B22" s="3" t="s">
        <v>1264</v>
      </c>
      <c r="C22" s="19"/>
      <c r="D22" s="2" t="s">
        <v>255</v>
      </c>
      <c r="E22" s="3" t="s">
        <v>256</v>
      </c>
      <c r="F22" s="3" t="s">
        <v>257</v>
      </c>
      <c r="G22" s="2" t="s">
        <v>565</v>
      </c>
      <c r="H22" s="2"/>
      <c r="I22" s="2" t="s">
        <v>1246</v>
      </c>
      <c r="J22" s="13"/>
    </row>
    <row r="23" ht="42.75" spans="1:10">
      <c r="A23" s="2">
        <v>20</v>
      </c>
      <c r="B23" s="3" t="s">
        <v>1265</v>
      </c>
      <c r="C23" s="19"/>
      <c r="D23" s="2" t="s">
        <v>255</v>
      </c>
      <c r="E23" s="3" t="s">
        <v>256</v>
      </c>
      <c r="F23" s="3" t="s">
        <v>257</v>
      </c>
      <c r="G23" s="2" t="s">
        <v>565</v>
      </c>
      <c r="H23" s="2"/>
      <c r="I23" s="2" t="s">
        <v>1246</v>
      </c>
      <c r="J23" s="13"/>
    </row>
    <row r="24" ht="28.5" spans="1:10">
      <c r="A24" s="2">
        <v>21</v>
      </c>
      <c r="B24" s="3" t="s">
        <v>1266</v>
      </c>
      <c r="C24" s="19" t="s">
        <v>1147</v>
      </c>
      <c r="D24" s="2" t="s">
        <v>255</v>
      </c>
      <c r="E24" s="3" t="s">
        <v>256</v>
      </c>
      <c r="F24" s="3" t="s">
        <v>257</v>
      </c>
      <c r="G24" s="2" t="s">
        <v>565</v>
      </c>
      <c r="H24" s="2"/>
      <c r="I24" s="2" t="s">
        <v>1246</v>
      </c>
      <c r="J24" s="13"/>
    </row>
    <row r="25" ht="28.5" spans="1:10">
      <c r="A25" s="2">
        <v>22</v>
      </c>
      <c r="B25" s="3" t="s">
        <v>1267</v>
      </c>
      <c r="C25" s="19"/>
      <c r="D25" s="2" t="s">
        <v>255</v>
      </c>
      <c r="E25" s="3" t="s">
        <v>256</v>
      </c>
      <c r="F25" s="3" t="s">
        <v>257</v>
      </c>
      <c r="G25" s="2" t="s">
        <v>565</v>
      </c>
      <c r="H25" s="2"/>
      <c r="I25" s="2" t="s">
        <v>1246</v>
      </c>
      <c r="J25" s="13"/>
    </row>
    <row r="26" ht="28.5" spans="1:10">
      <c r="A26" s="2">
        <v>23</v>
      </c>
      <c r="B26" s="3" t="s">
        <v>1268</v>
      </c>
      <c r="C26" s="19"/>
      <c r="D26" s="2" t="s">
        <v>255</v>
      </c>
      <c r="E26" s="3" t="s">
        <v>256</v>
      </c>
      <c r="F26" s="3" t="s">
        <v>257</v>
      </c>
      <c r="G26" s="2" t="s">
        <v>565</v>
      </c>
      <c r="H26" s="2"/>
      <c r="I26" s="2" t="s">
        <v>1246</v>
      </c>
      <c r="J26" s="13"/>
    </row>
    <row r="27" ht="28.5" spans="1:10">
      <c r="A27" s="2">
        <v>24</v>
      </c>
      <c r="B27" s="3" t="s">
        <v>1269</v>
      </c>
      <c r="C27" s="19"/>
      <c r="D27" s="2" t="s">
        <v>255</v>
      </c>
      <c r="E27" s="3" t="s">
        <v>256</v>
      </c>
      <c r="F27" s="3" t="s">
        <v>257</v>
      </c>
      <c r="G27" s="2" t="s">
        <v>565</v>
      </c>
      <c r="H27" s="2"/>
      <c r="I27" s="2" t="s">
        <v>1246</v>
      </c>
      <c r="J27" s="13"/>
    </row>
    <row r="28" ht="28.5" spans="1:10">
      <c r="A28" s="2">
        <v>25</v>
      </c>
      <c r="B28" s="3" t="s">
        <v>1270</v>
      </c>
      <c r="C28" s="19" t="s">
        <v>1147</v>
      </c>
      <c r="D28" s="2" t="s">
        <v>255</v>
      </c>
      <c r="E28" s="3" t="s">
        <v>256</v>
      </c>
      <c r="F28" s="3" t="s">
        <v>257</v>
      </c>
      <c r="G28" s="2" t="s">
        <v>565</v>
      </c>
      <c r="H28" s="2"/>
      <c r="I28" s="2" t="s">
        <v>1246</v>
      </c>
      <c r="J28" s="13"/>
    </row>
    <row r="29" ht="28.5" spans="1:10">
      <c r="A29" s="2">
        <v>26</v>
      </c>
      <c r="B29" s="3" t="s">
        <v>1271</v>
      </c>
      <c r="C29" s="19" t="s">
        <v>1147</v>
      </c>
      <c r="D29" s="2" t="s">
        <v>255</v>
      </c>
      <c r="E29" s="3" t="s">
        <v>256</v>
      </c>
      <c r="F29" s="3" t="s">
        <v>257</v>
      </c>
      <c r="G29" s="2" t="s">
        <v>565</v>
      </c>
      <c r="H29" s="2"/>
      <c r="I29" s="2" t="s">
        <v>1246</v>
      </c>
      <c r="J29" s="13"/>
    </row>
    <row r="30" ht="28.5" spans="1:10">
      <c r="A30" s="2">
        <v>27</v>
      </c>
      <c r="B30" s="3" t="s">
        <v>1272</v>
      </c>
      <c r="C30" s="19"/>
      <c r="D30" s="2" t="s">
        <v>255</v>
      </c>
      <c r="E30" s="3" t="s">
        <v>256</v>
      </c>
      <c r="F30" s="3" t="s">
        <v>257</v>
      </c>
      <c r="G30" s="2" t="s">
        <v>565</v>
      </c>
      <c r="H30" s="2"/>
      <c r="I30" s="2" t="s">
        <v>1246</v>
      </c>
      <c r="J30" s="13"/>
    </row>
    <row r="31" ht="57" spans="1:10">
      <c r="A31" s="27">
        <v>28</v>
      </c>
      <c r="B31" s="99" t="s">
        <v>1273</v>
      </c>
      <c r="C31" s="100" t="s">
        <v>1152</v>
      </c>
      <c r="D31" s="27" t="s">
        <v>255</v>
      </c>
      <c r="E31" s="99" t="s">
        <v>256</v>
      </c>
      <c r="F31" s="99" t="s">
        <v>257</v>
      </c>
      <c r="G31" s="27" t="s">
        <v>565</v>
      </c>
      <c r="H31" s="27"/>
      <c r="I31" s="27" t="s">
        <v>1246</v>
      </c>
      <c r="J31" s="107"/>
    </row>
    <row r="32" ht="72" customHeight="1" spans="1:10">
      <c r="A32" s="2">
        <v>29</v>
      </c>
      <c r="B32" s="3" t="s">
        <v>1274</v>
      </c>
      <c r="C32" s="104" t="s">
        <v>1275</v>
      </c>
      <c r="D32" s="3" t="s">
        <v>1276</v>
      </c>
      <c r="E32" s="3" t="s">
        <v>256</v>
      </c>
      <c r="F32" s="3" t="s">
        <v>257</v>
      </c>
      <c r="G32" s="2" t="s">
        <v>17</v>
      </c>
      <c r="H32" s="2"/>
      <c r="I32" s="2" t="s">
        <v>1277</v>
      </c>
      <c r="J32" s="13"/>
    </row>
    <row r="33" ht="57" spans="1:10">
      <c r="A33" s="27">
        <v>30</v>
      </c>
      <c r="B33" s="3" t="s">
        <v>1278</v>
      </c>
      <c r="C33" s="19"/>
      <c r="D33" s="2"/>
      <c r="E33" s="2"/>
      <c r="F33" s="2"/>
      <c r="G33" s="2"/>
      <c r="H33" s="2"/>
      <c r="I33" s="2" t="s">
        <v>512</v>
      </c>
      <c r="J33" s="13"/>
    </row>
    <row r="34" ht="42.75" spans="1:10">
      <c r="A34" s="2">
        <v>31</v>
      </c>
      <c r="B34" s="3" t="s">
        <v>1279</v>
      </c>
      <c r="C34" s="19"/>
      <c r="D34" s="2"/>
      <c r="E34" s="2"/>
      <c r="F34" s="2"/>
      <c r="G34" s="2"/>
      <c r="H34" s="2"/>
      <c r="I34" s="2" t="s">
        <v>1280</v>
      </c>
      <c r="J34" s="13"/>
    </row>
    <row r="35" spans="1:10">
      <c r="A35" s="2"/>
      <c r="B35" s="3"/>
      <c r="C35" s="19"/>
      <c r="D35" s="2"/>
      <c r="E35" s="2"/>
      <c r="F35" s="2"/>
      <c r="G35" s="2"/>
      <c r="H35" s="2"/>
      <c r="I35" s="2"/>
      <c r="J35" s="13"/>
    </row>
  </sheetData>
  <mergeCells count="1">
    <mergeCell ref="A1:J1"/>
  </mergeCells>
  <pageMargins left="0.751388888888889" right="0.751388888888889" top="0.802777777777778" bottom="0.802777777777778" header="0.511805555555556" footer="0.511805555555556"/>
  <pageSetup paperSize="9" orientation="landscape"/>
  <headerFooter>
    <oddFooter>&amp;C第 &amp;P 页，共 &amp;N 页</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5"/>
  <sheetViews>
    <sheetView topLeftCell="A56" workbookViewId="0">
      <selection activeCell="J65" sqref="J65"/>
    </sheetView>
  </sheetViews>
  <sheetFormatPr defaultColWidth="9" defaultRowHeight="14.25"/>
  <cols>
    <col min="1" max="1" width="5.875" style="7" customWidth="1"/>
    <col min="2" max="2" width="36.25" style="16" customWidth="1"/>
    <col min="3" max="3" width="11.625" style="17" customWidth="1"/>
    <col min="4" max="4" width="5.75" style="7" customWidth="1"/>
    <col min="5" max="5" width="17.75" style="7" customWidth="1"/>
    <col min="6" max="6" width="17.5" style="7" customWidth="1"/>
    <col min="7" max="7" width="7.375" style="7" customWidth="1"/>
    <col min="8" max="8" width="8.875" style="7" customWidth="1"/>
    <col min="9" max="10" width="13.625" style="7" customWidth="1"/>
    <col min="11" max="11" width="7" style="7" customWidth="1"/>
  </cols>
  <sheetData>
    <row r="1" ht="27" spans="1:13">
      <c r="A1" s="92" t="s">
        <v>1281</v>
      </c>
      <c r="B1" s="92"/>
      <c r="C1" s="92"/>
      <c r="D1" s="92"/>
      <c r="E1" s="92"/>
      <c r="F1" s="92"/>
      <c r="G1" s="92"/>
      <c r="H1" s="92"/>
      <c r="I1" s="92"/>
      <c r="J1" s="92"/>
      <c r="K1" s="92"/>
      <c r="L1" s="21"/>
      <c r="M1" s="21"/>
    </row>
    <row r="2" ht="28.5" spans="1:11">
      <c r="A2" s="2" t="s">
        <v>1</v>
      </c>
      <c r="B2" s="3" t="s">
        <v>2</v>
      </c>
      <c r="C2" s="19" t="s">
        <v>3</v>
      </c>
      <c r="D2" s="2" t="s">
        <v>4</v>
      </c>
      <c r="E2" s="2" t="s">
        <v>5</v>
      </c>
      <c r="F2" s="2" t="s">
        <v>1221</v>
      </c>
      <c r="G2" s="2" t="s">
        <v>1282</v>
      </c>
      <c r="H2" s="3" t="s">
        <v>1222</v>
      </c>
      <c r="I2" s="3" t="s">
        <v>60</v>
      </c>
      <c r="J2" s="2" t="s">
        <v>840</v>
      </c>
      <c r="K2" s="2" t="s">
        <v>12</v>
      </c>
    </row>
    <row r="3" s="35" customFormat="1" ht="28.5" spans="1:11">
      <c r="A3" s="5">
        <v>1</v>
      </c>
      <c r="B3" s="93" t="s">
        <v>1283</v>
      </c>
      <c r="C3" s="94" t="s">
        <v>1147</v>
      </c>
      <c r="D3" s="5" t="s">
        <v>492</v>
      </c>
      <c r="E3" s="93" t="s">
        <v>256</v>
      </c>
      <c r="F3" s="93" t="s">
        <v>257</v>
      </c>
      <c r="G3" s="93"/>
      <c r="H3" s="5" t="s">
        <v>1284</v>
      </c>
      <c r="I3" s="5"/>
      <c r="J3" s="5" t="s">
        <v>1285</v>
      </c>
      <c r="K3" s="5"/>
    </row>
    <row r="4" s="35" customFormat="1" ht="28.5" spans="1:11">
      <c r="A4" s="5">
        <v>2</v>
      </c>
      <c r="B4" s="93" t="s">
        <v>1286</v>
      </c>
      <c r="C4" s="94" t="s">
        <v>1152</v>
      </c>
      <c r="D4" s="5" t="s">
        <v>492</v>
      </c>
      <c r="E4" s="93" t="s">
        <v>256</v>
      </c>
      <c r="F4" s="93" t="s">
        <v>257</v>
      </c>
      <c r="G4" s="93"/>
      <c r="H4" s="5" t="s">
        <v>1284</v>
      </c>
      <c r="I4" s="5"/>
      <c r="J4" s="5" t="s">
        <v>1285</v>
      </c>
      <c r="K4" s="5"/>
    </row>
    <row r="5" s="35" customFormat="1" ht="28.5" spans="1:11">
      <c r="A5" s="5">
        <v>3</v>
      </c>
      <c r="B5" s="93" t="s">
        <v>1287</v>
      </c>
      <c r="C5" s="94" t="s">
        <v>1154</v>
      </c>
      <c r="D5" s="5" t="s">
        <v>492</v>
      </c>
      <c r="E5" s="93" t="s">
        <v>256</v>
      </c>
      <c r="F5" s="93" t="s">
        <v>257</v>
      </c>
      <c r="G5" s="93"/>
      <c r="H5" s="5" t="s">
        <v>1284</v>
      </c>
      <c r="I5" s="5"/>
      <c r="J5" s="5" t="s">
        <v>1285</v>
      </c>
      <c r="K5" s="5"/>
    </row>
    <row r="6" ht="42.75" spans="1:11">
      <c r="A6" s="2">
        <v>4</v>
      </c>
      <c r="B6" s="3" t="s">
        <v>1288</v>
      </c>
      <c r="C6" s="19" t="s">
        <v>1152</v>
      </c>
      <c r="D6" s="2" t="s">
        <v>255</v>
      </c>
      <c r="E6" s="3" t="s">
        <v>256</v>
      </c>
      <c r="F6" s="3" t="s">
        <v>257</v>
      </c>
      <c r="G6" s="3"/>
      <c r="H6" s="2" t="s">
        <v>1284</v>
      </c>
      <c r="I6" s="2"/>
      <c r="J6" s="2" t="s">
        <v>1285</v>
      </c>
      <c r="K6" s="2"/>
    </row>
    <row r="7" ht="28.5" spans="1:11">
      <c r="A7" s="2">
        <v>5</v>
      </c>
      <c r="B7" s="3" t="s">
        <v>1289</v>
      </c>
      <c r="C7" s="19"/>
      <c r="D7" s="2" t="s">
        <v>255</v>
      </c>
      <c r="E7" s="3" t="s">
        <v>256</v>
      </c>
      <c r="F7" s="3" t="s">
        <v>257</v>
      </c>
      <c r="G7" s="3"/>
      <c r="H7" s="2" t="s">
        <v>1284</v>
      </c>
      <c r="I7" s="2"/>
      <c r="J7" s="2" t="s">
        <v>1285</v>
      </c>
      <c r="K7" s="2"/>
    </row>
    <row r="8" ht="28.5" spans="1:11">
      <c r="A8" s="2">
        <v>6</v>
      </c>
      <c r="B8" s="3" t="s">
        <v>1290</v>
      </c>
      <c r="C8" s="19" t="s">
        <v>1154</v>
      </c>
      <c r="D8" s="2" t="s">
        <v>492</v>
      </c>
      <c r="E8" s="3" t="s">
        <v>256</v>
      </c>
      <c r="F8" s="3" t="s">
        <v>257</v>
      </c>
      <c r="G8" s="3"/>
      <c r="H8" s="2" t="s">
        <v>1284</v>
      </c>
      <c r="I8" s="2"/>
      <c r="J8" s="2" t="s">
        <v>1285</v>
      </c>
      <c r="K8" s="2"/>
    </row>
    <row r="9" ht="36.95" customHeight="1" spans="1:11">
      <c r="A9" s="2">
        <v>7</v>
      </c>
      <c r="B9" s="3" t="s">
        <v>1291</v>
      </c>
      <c r="C9" s="19" t="s">
        <v>1292</v>
      </c>
      <c r="D9" s="2">
        <v>5</v>
      </c>
      <c r="E9" s="2" t="s">
        <v>284</v>
      </c>
      <c r="F9" s="2" t="s">
        <v>336</v>
      </c>
      <c r="G9" s="2" t="s">
        <v>286</v>
      </c>
      <c r="H9" s="2" t="s">
        <v>583</v>
      </c>
      <c r="I9" s="2" t="s">
        <v>1293</v>
      </c>
      <c r="J9" s="2" t="s">
        <v>580</v>
      </c>
      <c r="K9" s="2"/>
    </row>
    <row r="10" s="90" customFormat="1" ht="3" hidden="1" customHeight="1" spans="1:11">
      <c r="A10" s="95">
        <v>8</v>
      </c>
      <c r="B10" s="96" t="s">
        <v>1294</v>
      </c>
      <c r="C10" s="97"/>
      <c r="D10" s="95">
        <v>6</v>
      </c>
      <c r="E10" s="95" t="s">
        <v>284</v>
      </c>
      <c r="F10" s="95" t="s">
        <v>336</v>
      </c>
      <c r="G10" s="95" t="s">
        <v>286</v>
      </c>
      <c r="H10" s="95" t="s">
        <v>150</v>
      </c>
      <c r="I10" s="95" t="s">
        <v>1295</v>
      </c>
      <c r="J10" s="95" t="s">
        <v>1296</v>
      </c>
      <c r="K10" s="95"/>
    </row>
    <row r="11" s="91" customFormat="1" ht="42" customHeight="1" spans="1:11">
      <c r="A11" s="45">
        <v>10</v>
      </c>
      <c r="B11" s="48" t="s">
        <v>1297</v>
      </c>
      <c r="C11" s="98" t="s">
        <v>1298</v>
      </c>
      <c r="D11" s="45">
        <v>5</v>
      </c>
      <c r="E11" s="45" t="s">
        <v>284</v>
      </c>
      <c r="F11" s="45" t="s">
        <v>336</v>
      </c>
      <c r="G11" s="45" t="s">
        <v>286</v>
      </c>
      <c r="H11" s="45" t="s">
        <v>150</v>
      </c>
      <c r="I11" s="45" t="s">
        <v>569</v>
      </c>
      <c r="J11" s="45" t="s">
        <v>1299</v>
      </c>
      <c r="K11" s="45"/>
    </row>
    <row r="12" ht="28.5" spans="1:11">
      <c r="A12" s="2">
        <v>11</v>
      </c>
      <c r="B12" s="3" t="s">
        <v>1300</v>
      </c>
      <c r="C12" s="19" t="s">
        <v>1301</v>
      </c>
      <c r="D12" s="2">
        <v>5</v>
      </c>
      <c r="E12" s="2" t="s">
        <v>284</v>
      </c>
      <c r="F12" s="2" t="s">
        <v>336</v>
      </c>
      <c r="G12" s="2" t="s">
        <v>286</v>
      </c>
      <c r="H12" s="2" t="s">
        <v>150</v>
      </c>
      <c r="I12" s="2" t="s">
        <v>569</v>
      </c>
      <c r="J12" s="2" t="s">
        <v>1299</v>
      </c>
      <c r="K12" s="2"/>
    </row>
    <row r="13" ht="28.5" spans="1:11">
      <c r="A13" s="2">
        <v>12</v>
      </c>
      <c r="B13" s="3" t="s">
        <v>1302</v>
      </c>
      <c r="C13" s="19" t="s">
        <v>965</v>
      </c>
      <c r="D13" s="2">
        <v>5</v>
      </c>
      <c r="E13" s="2" t="s">
        <v>284</v>
      </c>
      <c r="F13" s="2" t="s">
        <v>336</v>
      </c>
      <c r="G13" s="2" t="s">
        <v>286</v>
      </c>
      <c r="H13" s="2" t="s">
        <v>150</v>
      </c>
      <c r="I13" s="2" t="s">
        <v>569</v>
      </c>
      <c r="J13" s="2" t="s">
        <v>1299</v>
      </c>
      <c r="K13" s="2"/>
    </row>
    <row r="14" spans="1:11">
      <c r="A14" s="2">
        <v>13</v>
      </c>
      <c r="B14" s="3" t="s">
        <v>1303</v>
      </c>
      <c r="C14" s="19" t="s">
        <v>1304</v>
      </c>
      <c r="D14" s="2">
        <v>5</v>
      </c>
      <c r="E14" s="2" t="s">
        <v>284</v>
      </c>
      <c r="F14" s="2" t="s">
        <v>336</v>
      </c>
      <c r="G14" s="2" t="s">
        <v>286</v>
      </c>
      <c r="H14" s="2" t="s">
        <v>150</v>
      </c>
      <c r="I14" s="2" t="s">
        <v>1305</v>
      </c>
      <c r="J14" s="2" t="s">
        <v>1299</v>
      </c>
      <c r="K14" s="2"/>
    </row>
    <row r="15" spans="1:11">
      <c r="A15" s="2"/>
      <c r="B15" s="3" t="s">
        <v>1306</v>
      </c>
      <c r="C15" s="19" t="s">
        <v>1304</v>
      </c>
      <c r="D15" s="2">
        <v>5</v>
      </c>
      <c r="E15" s="2" t="s">
        <v>284</v>
      </c>
      <c r="F15" s="2" t="s">
        <v>336</v>
      </c>
      <c r="G15" s="2" t="s">
        <v>286</v>
      </c>
      <c r="H15" s="2" t="s">
        <v>150</v>
      </c>
      <c r="I15" s="2" t="s">
        <v>1305</v>
      </c>
      <c r="J15" s="2" t="s">
        <v>1299</v>
      </c>
      <c r="K15" s="2"/>
    </row>
    <row r="16" spans="1:11">
      <c r="A16" s="2">
        <v>14</v>
      </c>
      <c r="B16" s="3" t="s">
        <v>1307</v>
      </c>
      <c r="C16" s="19" t="s">
        <v>1308</v>
      </c>
      <c r="D16" s="2">
        <v>5</v>
      </c>
      <c r="E16" s="2" t="s">
        <v>284</v>
      </c>
      <c r="F16" s="2" t="s">
        <v>336</v>
      </c>
      <c r="G16" s="2" t="s">
        <v>286</v>
      </c>
      <c r="H16" s="2" t="s">
        <v>150</v>
      </c>
      <c r="I16" s="2" t="s">
        <v>1305</v>
      </c>
      <c r="J16" s="2" t="s">
        <v>1299</v>
      </c>
      <c r="K16" s="2"/>
    </row>
    <row r="17" spans="1:11">
      <c r="A17" s="2">
        <v>15</v>
      </c>
      <c r="B17" s="3" t="s">
        <v>1309</v>
      </c>
      <c r="C17" s="19" t="s">
        <v>1154</v>
      </c>
      <c r="D17" s="2">
        <v>5</v>
      </c>
      <c r="E17" s="2" t="s">
        <v>284</v>
      </c>
      <c r="F17" s="2" t="s">
        <v>336</v>
      </c>
      <c r="G17" s="2" t="s">
        <v>286</v>
      </c>
      <c r="H17" s="2" t="s">
        <v>150</v>
      </c>
      <c r="I17" s="2" t="s">
        <v>1305</v>
      </c>
      <c r="J17" s="2" t="s">
        <v>1299</v>
      </c>
      <c r="K17" s="2"/>
    </row>
    <row r="18" spans="1:11">
      <c r="A18" s="2">
        <v>16</v>
      </c>
      <c r="B18" s="3" t="s">
        <v>1310</v>
      </c>
      <c r="C18" s="19" t="s">
        <v>1147</v>
      </c>
      <c r="D18" s="2">
        <v>5</v>
      </c>
      <c r="E18" s="2" t="s">
        <v>284</v>
      </c>
      <c r="F18" s="2" t="s">
        <v>336</v>
      </c>
      <c r="G18" s="2" t="s">
        <v>286</v>
      </c>
      <c r="H18" s="2" t="s">
        <v>150</v>
      </c>
      <c r="I18" s="2" t="s">
        <v>1305</v>
      </c>
      <c r="J18" s="2" t="s">
        <v>1299</v>
      </c>
      <c r="K18" s="2"/>
    </row>
    <row r="19" spans="1:11">
      <c r="A19" s="2">
        <v>17</v>
      </c>
      <c r="B19" s="3" t="s">
        <v>1311</v>
      </c>
      <c r="C19" s="19" t="s">
        <v>1147</v>
      </c>
      <c r="D19" s="2">
        <v>5</v>
      </c>
      <c r="E19" s="2" t="s">
        <v>284</v>
      </c>
      <c r="F19" s="2" t="s">
        <v>336</v>
      </c>
      <c r="G19" s="2" t="s">
        <v>286</v>
      </c>
      <c r="H19" s="2" t="s">
        <v>150</v>
      </c>
      <c r="I19" s="2" t="s">
        <v>1305</v>
      </c>
      <c r="J19" s="2" t="s">
        <v>1299</v>
      </c>
      <c r="K19" s="2"/>
    </row>
    <row r="20" s="36" customFormat="1" spans="1:11">
      <c r="A20" s="6" t="s">
        <v>48</v>
      </c>
      <c r="B20" s="33" t="s">
        <v>1312</v>
      </c>
      <c r="C20" s="80" t="s">
        <v>1313</v>
      </c>
      <c r="D20" s="6">
        <v>5</v>
      </c>
      <c r="E20" s="6" t="s">
        <v>284</v>
      </c>
      <c r="F20" s="6" t="s">
        <v>336</v>
      </c>
      <c r="G20" s="6" t="s">
        <v>286</v>
      </c>
      <c r="H20" s="6" t="s">
        <v>150</v>
      </c>
      <c r="I20" s="6" t="s">
        <v>1305</v>
      </c>
      <c r="J20" s="6" t="s">
        <v>1299</v>
      </c>
      <c r="K20" s="6"/>
    </row>
    <row r="21" s="35" customFormat="1" spans="1:11">
      <c r="A21" s="5">
        <v>21</v>
      </c>
      <c r="B21" s="93" t="s">
        <v>1314</v>
      </c>
      <c r="C21" s="94" t="s">
        <v>1315</v>
      </c>
      <c r="D21" s="5">
        <v>5</v>
      </c>
      <c r="E21" s="5" t="s">
        <v>284</v>
      </c>
      <c r="F21" s="5" t="s">
        <v>336</v>
      </c>
      <c r="G21" s="5" t="s">
        <v>286</v>
      </c>
      <c r="H21" s="5" t="s">
        <v>583</v>
      </c>
      <c r="I21" s="5" t="s">
        <v>600</v>
      </c>
      <c r="J21" s="5" t="s">
        <v>928</v>
      </c>
      <c r="K21" s="5"/>
    </row>
    <row r="22" ht="28.5" spans="1:11">
      <c r="A22" s="2">
        <v>22</v>
      </c>
      <c r="B22" s="3" t="s">
        <v>1316</v>
      </c>
      <c r="C22" s="19" t="s">
        <v>1317</v>
      </c>
      <c r="D22" s="2">
        <v>5</v>
      </c>
      <c r="E22" s="2" t="s">
        <v>284</v>
      </c>
      <c r="F22" s="2" t="s">
        <v>336</v>
      </c>
      <c r="G22" s="2" t="s">
        <v>286</v>
      </c>
      <c r="H22" s="2" t="s">
        <v>583</v>
      </c>
      <c r="I22" s="2" t="s">
        <v>600</v>
      </c>
      <c r="J22" s="2" t="s">
        <v>928</v>
      </c>
      <c r="K22" s="2"/>
    </row>
    <row r="23" spans="1:11">
      <c r="A23" s="2">
        <v>23</v>
      </c>
      <c r="B23" s="3" t="s">
        <v>1318</v>
      </c>
      <c r="C23" s="19" t="s">
        <v>967</v>
      </c>
      <c r="D23" s="2">
        <v>5</v>
      </c>
      <c r="E23" s="2" t="s">
        <v>284</v>
      </c>
      <c r="F23" s="2" t="s">
        <v>336</v>
      </c>
      <c r="G23" s="2" t="s">
        <v>286</v>
      </c>
      <c r="H23" s="2" t="s">
        <v>583</v>
      </c>
      <c r="I23" s="2" t="s">
        <v>600</v>
      </c>
      <c r="J23" s="2" t="s">
        <v>928</v>
      </c>
      <c r="K23" s="2"/>
    </row>
    <row r="24" spans="1:11">
      <c r="A24" s="2">
        <v>24</v>
      </c>
      <c r="B24" s="3" t="s">
        <v>1319</v>
      </c>
      <c r="C24" s="19" t="s">
        <v>963</v>
      </c>
      <c r="D24" s="2">
        <v>5</v>
      </c>
      <c r="E24" s="2" t="s">
        <v>284</v>
      </c>
      <c r="F24" s="2" t="s">
        <v>336</v>
      </c>
      <c r="G24" s="2" t="s">
        <v>286</v>
      </c>
      <c r="H24" s="2" t="s">
        <v>583</v>
      </c>
      <c r="I24" s="2" t="s">
        <v>600</v>
      </c>
      <c r="J24" s="2" t="s">
        <v>928</v>
      </c>
      <c r="K24" s="2"/>
    </row>
    <row r="25" spans="1:11">
      <c r="A25" s="2">
        <v>25</v>
      </c>
      <c r="B25" s="3" t="s">
        <v>1320</v>
      </c>
      <c r="C25" s="19" t="s">
        <v>963</v>
      </c>
      <c r="D25" s="2">
        <v>5</v>
      </c>
      <c r="E25" s="2" t="s">
        <v>284</v>
      </c>
      <c r="F25" s="2" t="s">
        <v>336</v>
      </c>
      <c r="G25" s="2" t="s">
        <v>286</v>
      </c>
      <c r="H25" s="2" t="s">
        <v>583</v>
      </c>
      <c r="I25" s="2" t="s">
        <v>600</v>
      </c>
      <c r="J25" s="2" t="s">
        <v>928</v>
      </c>
      <c r="K25" s="2"/>
    </row>
    <row r="26" s="35" customFormat="1" spans="1:11">
      <c r="A26" s="5">
        <v>26</v>
      </c>
      <c r="B26" s="93" t="s">
        <v>1321</v>
      </c>
      <c r="C26" s="94" t="s">
        <v>1322</v>
      </c>
      <c r="D26" s="5">
        <v>1</v>
      </c>
      <c r="E26" s="5" t="s">
        <v>336</v>
      </c>
      <c r="F26" s="5" t="s">
        <v>284</v>
      </c>
      <c r="G26" s="5" t="s">
        <v>150</v>
      </c>
      <c r="H26" s="5" t="s">
        <v>286</v>
      </c>
      <c r="I26" s="5"/>
      <c r="J26" s="5" t="s">
        <v>928</v>
      </c>
      <c r="K26" s="5"/>
    </row>
    <row r="27" s="35" customFormat="1" spans="1:11">
      <c r="A27" s="5">
        <v>27</v>
      </c>
      <c r="B27" s="93" t="s">
        <v>1323</v>
      </c>
      <c r="C27" s="94" t="s">
        <v>1322</v>
      </c>
      <c r="D27" s="5">
        <v>5</v>
      </c>
      <c r="E27" s="5" t="s">
        <v>336</v>
      </c>
      <c r="F27" s="5" t="s">
        <v>284</v>
      </c>
      <c r="G27" s="5" t="s">
        <v>565</v>
      </c>
      <c r="H27" s="5" t="s">
        <v>150</v>
      </c>
      <c r="I27" s="5" t="s">
        <v>920</v>
      </c>
      <c r="J27" s="5" t="s">
        <v>861</v>
      </c>
      <c r="K27" s="5"/>
    </row>
    <row r="28" ht="28.5" spans="1:11">
      <c r="A28" s="2">
        <v>28</v>
      </c>
      <c r="B28" s="3" t="s">
        <v>1324</v>
      </c>
      <c r="C28" s="19" t="s">
        <v>1325</v>
      </c>
      <c r="D28" s="2">
        <v>5</v>
      </c>
      <c r="E28" s="2" t="s">
        <v>336</v>
      </c>
      <c r="F28" s="2" t="s">
        <v>284</v>
      </c>
      <c r="G28" s="2" t="s">
        <v>565</v>
      </c>
      <c r="H28" s="2" t="s">
        <v>150</v>
      </c>
      <c r="I28" s="2" t="s">
        <v>920</v>
      </c>
      <c r="J28" s="2" t="s">
        <v>861</v>
      </c>
      <c r="K28" s="2"/>
    </row>
    <row r="29" spans="1:11">
      <c r="A29" s="2">
        <v>29</v>
      </c>
      <c r="B29" s="3" t="s">
        <v>1326</v>
      </c>
      <c r="C29" s="19" t="s">
        <v>1327</v>
      </c>
      <c r="D29" s="2">
        <v>5</v>
      </c>
      <c r="E29" s="2" t="s">
        <v>336</v>
      </c>
      <c r="F29" s="2" t="s">
        <v>284</v>
      </c>
      <c r="G29" s="2" t="s">
        <v>565</v>
      </c>
      <c r="H29" s="2" t="s">
        <v>150</v>
      </c>
      <c r="I29" s="2" t="s">
        <v>920</v>
      </c>
      <c r="J29" s="2" t="s">
        <v>861</v>
      </c>
      <c r="K29" s="2"/>
    </row>
    <row r="30" spans="1:11">
      <c r="A30" s="2">
        <v>30</v>
      </c>
      <c r="B30" s="3" t="s">
        <v>1328</v>
      </c>
      <c r="C30" s="19" t="s">
        <v>1155</v>
      </c>
      <c r="D30" s="2">
        <v>5</v>
      </c>
      <c r="E30" s="2" t="s">
        <v>336</v>
      </c>
      <c r="F30" s="2" t="s">
        <v>284</v>
      </c>
      <c r="G30" s="2" t="s">
        <v>565</v>
      </c>
      <c r="H30" s="2" t="s">
        <v>150</v>
      </c>
      <c r="I30" s="2" t="s">
        <v>920</v>
      </c>
      <c r="J30" s="2" t="s">
        <v>861</v>
      </c>
      <c r="K30" s="2"/>
    </row>
    <row r="31" spans="1:11">
      <c r="A31" s="2">
        <v>31</v>
      </c>
      <c r="B31" s="3" t="s">
        <v>1329</v>
      </c>
      <c r="C31" s="19" t="s">
        <v>1155</v>
      </c>
      <c r="D31" s="2">
        <v>5</v>
      </c>
      <c r="E31" s="2" t="s">
        <v>336</v>
      </c>
      <c r="F31" s="2" t="s">
        <v>284</v>
      </c>
      <c r="G31" s="2" t="s">
        <v>565</v>
      </c>
      <c r="H31" s="2" t="s">
        <v>150</v>
      </c>
      <c r="I31" s="2" t="s">
        <v>920</v>
      </c>
      <c r="J31" s="2" t="s">
        <v>861</v>
      </c>
      <c r="K31" s="2"/>
    </row>
    <row r="32" spans="1:11">
      <c r="A32" s="2">
        <v>32</v>
      </c>
      <c r="B32" s="3" t="s">
        <v>1330</v>
      </c>
      <c r="C32" s="19" t="s">
        <v>1331</v>
      </c>
      <c r="D32" s="2">
        <v>1</v>
      </c>
      <c r="E32" s="2" t="s">
        <v>336</v>
      </c>
      <c r="F32" s="2" t="s">
        <v>284</v>
      </c>
      <c r="G32" s="2" t="s">
        <v>150</v>
      </c>
      <c r="H32" s="2" t="s">
        <v>286</v>
      </c>
      <c r="I32" s="2"/>
      <c r="J32" s="2" t="s">
        <v>861</v>
      </c>
      <c r="K32" s="2"/>
    </row>
    <row r="33" spans="1:11">
      <c r="A33" s="2">
        <v>33</v>
      </c>
      <c r="B33" s="3" t="s">
        <v>1332</v>
      </c>
      <c r="C33" s="19" t="s">
        <v>1237</v>
      </c>
      <c r="D33" s="2">
        <v>5</v>
      </c>
      <c r="E33" s="2" t="s">
        <v>284</v>
      </c>
      <c r="F33" s="2" t="s">
        <v>336</v>
      </c>
      <c r="G33" s="2" t="s">
        <v>286</v>
      </c>
      <c r="H33" s="2" t="s">
        <v>583</v>
      </c>
      <c r="I33" s="2" t="s">
        <v>861</v>
      </c>
      <c r="J33" s="2" t="s">
        <v>366</v>
      </c>
      <c r="K33" s="2"/>
    </row>
    <row r="34" ht="28.5" spans="1:11">
      <c r="A34" s="2">
        <v>34</v>
      </c>
      <c r="B34" s="3" t="s">
        <v>1333</v>
      </c>
      <c r="C34" s="19" t="s">
        <v>1334</v>
      </c>
      <c r="D34" s="2">
        <v>1</v>
      </c>
      <c r="E34" s="6" t="s">
        <v>284</v>
      </c>
      <c r="F34" s="2" t="s">
        <v>336</v>
      </c>
      <c r="G34" s="2"/>
      <c r="H34" s="2"/>
      <c r="I34" s="2" t="s">
        <v>1335</v>
      </c>
      <c r="J34" s="2" t="s">
        <v>708</v>
      </c>
      <c r="K34" s="2"/>
    </row>
    <row r="35" ht="28.5" spans="1:11">
      <c r="A35" s="2">
        <v>35</v>
      </c>
      <c r="B35" s="33" t="s">
        <v>1336</v>
      </c>
      <c r="C35" s="22" t="s">
        <v>1337</v>
      </c>
      <c r="D35" s="2">
        <v>1</v>
      </c>
      <c r="E35" s="6" t="s">
        <v>284</v>
      </c>
      <c r="F35" s="2" t="s">
        <v>336</v>
      </c>
      <c r="G35" s="2" t="s">
        <v>32</v>
      </c>
      <c r="H35" s="2"/>
      <c r="I35" s="2"/>
      <c r="J35" s="6" t="s">
        <v>675</v>
      </c>
      <c r="K35" s="2"/>
    </row>
    <row r="36" ht="65.25" customHeight="1" spans="1:11">
      <c r="A36" s="2">
        <v>36</v>
      </c>
      <c r="B36" s="33" t="s">
        <v>1338</v>
      </c>
      <c r="C36" s="19"/>
      <c r="D36" s="2"/>
      <c r="E36" s="6" t="s">
        <v>284</v>
      </c>
      <c r="F36" s="2" t="s">
        <v>336</v>
      </c>
      <c r="G36" s="2"/>
      <c r="H36" s="2"/>
      <c r="I36" s="2"/>
      <c r="J36" s="101">
        <v>42682</v>
      </c>
      <c r="K36" s="2"/>
    </row>
    <row r="37" ht="32.1" customHeight="1" spans="1:11">
      <c r="A37" s="2">
        <v>37</v>
      </c>
      <c r="B37" s="3" t="s">
        <v>1339</v>
      </c>
      <c r="C37" s="19" t="s">
        <v>1340</v>
      </c>
      <c r="D37" s="2"/>
      <c r="E37" s="6" t="s">
        <v>284</v>
      </c>
      <c r="F37" s="2" t="s">
        <v>336</v>
      </c>
      <c r="G37" s="2"/>
      <c r="H37" s="2"/>
      <c r="I37" s="2"/>
      <c r="J37" s="2" t="s">
        <v>1341</v>
      </c>
      <c r="K37" s="2"/>
    </row>
    <row r="38" ht="32.1" customHeight="1" spans="1:11">
      <c r="A38" s="2">
        <v>38</v>
      </c>
      <c r="B38" s="3" t="s">
        <v>1342</v>
      </c>
      <c r="C38" s="19" t="s">
        <v>1343</v>
      </c>
      <c r="D38" s="2"/>
      <c r="E38" s="6" t="s">
        <v>284</v>
      </c>
      <c r="F38" s="2" t="s">
        <v>336</v>
      </c>
      <c r="G38" s="2" t="s">
        <v>17</v>
      </c>
      <c r="H38" s="2"/>
      <c r="I38" s="2" t="s">
        <v>1344</v>
      </c>
      <c r="J38" s="2" t="s">
        <v>1345</v>
      </c>
      <c r="K38" s="2"/>
    </row>
    <row r="39" ht="32.1" customHeight="1" spans="1:11">
      <c r="A39" s="2">
        <v>39</v>
      </c>
      <c r="B39" s="3" t="s">
        <v>1346</v>
      </c>
      <c r="C39" s="19" t="s">
        <v>1347</v>
      </c>
      <c r="D39" s="2"/>
      <c r="E39" s="2" t="s">
        <v>336</v>
      </c>
      <c r="F39" s="2" t="s">
        <v>284</v>
      </c>
      <c r="G39" s="2" t="s">
        <v>32</v>
      </c>
      <c r="H39" s="2"/>
      <c r="I39" s="2"/>
      <c r="J39" s="2" t="s">
        <v>716</v>
      </c>
      <c r="K39" s="2"/>
    </row>
    <row r="40" ht="32.1" customHeight="1" spans="1:11">
      <c r="A40" s="2">
        <v>40</v>
      </c>
      <c r="B40" s="3" t="s">
        <v>1332</v>
      </c>
      <c r="C40" s="19" t="s">
        <v>1348</v>
      </c>
      <c r="D40" s="2">
        <v>1</v>
      </c>
      <c r="E40" s="2" t="s">
        <v>336</v>
      </c>
      <c r="F40" s="2" t="s">
        <v>284</v>
      </c>
      <c r="G40" s="2" t="s">
        <v>32</v>
      </c>
      <c r="H40" s="2"/>
      <c r="I40" s="2"/>
      <c r="J40" s="2" t="s">
        <v>399</v>
      </c>
      <c r="K40" s="2"/>
    </row>
    <row r="41" ht="32.1" customHeight="1" spans="1:11">
      <c r="A41" s="2">
        <v>41</v>
      </c>
      <c r="B41" s="3" t="s">
        <v>1349</v>
      </c>
      <c r="C41" s="19" t="s">
        <v>1350</v>
      </c>
      <c r="D41" s="2">
        <v>1</v>
      </c>
      <c r="E41" s="2" t="s">
        <v>336</v>
      </c>
      <c r="F41" s="2" t="s">
        <v>284</v>
      </c>
      <c r="G41" s="2" t="s">
        <v>32</v>
      </c>
      <c r="H41" s="2"/>
      <c r="I41" s="2"/>
      <c r="J41" s="2" t="s">
        <v>399</v>
      </c>
      <c r="K41" s="2"/>
    </row>
    <row r="42" ht="32.1" customHeight="1" spans="1:11">
      <c r="A42" s="2">
        <v>42</v>
      </c>
      <c r="B42" s="3" t="s">
        <v>1351</v>
      </c>
      <c r="C42" s="19" t="s">
        <v>1352</v>
      </c>
      <c r="D42" s="2">
        <v>1</v>
      </c>
      <c r="E42" s="2" t="s">
        <v>336</v>
      </c>
      <c r="F42" s="2" t="s">
        <v>284</v>
      </c>
      <c r="G42" s="2" t="s">
        <v>32</v>
      </c>
      <c r="H42" s="2"/>
      <c r="I42" s="2"/>
      <c r="J42" s="2" t="s">
        <v>399</v>
      </c>
      <c r="K42" s="2"/>
    </row>
    <row r="43" ht="32.1" customHeight="1" spans="1:11">
      <c r="A43" s="2">
        <v>43</v>
      </c>
      <c r="B43" s="3" t="s">
        <v>1353</v>
      </c>
      <c r="C43" s="19" t="s">
        <v>1354</v>
      </c>
      <c r="D43" s="2">
        <v>1</v>
      </c>
      <c r="E43" s="2" t="s">
        <v>336</v>
      </c>
      <c r="F43" s="2" t="s">
        <v>284</v>
      </c>
      <c r="G43" s="2" t="s">
        <v>32</v>
      </c>
      <c r="H43" s="2"/>
      <c r="I43" s="2"/>
      <c r="J43" s="2" t="s">
        <v>399</v>
      </c>
      <c r="K43" s="2"/>
    </row>
    <row r="44" spans="1:11">
      <c r="A44" s="2">
        <v>44</v>
      </c>
      <c r="B44" s="3" t="s">
        <v>1355</v>
      </c>
      <c r="C44" s="19" t="s">
        <v>1356</v>
      </c>
      <c r="D44" s="2">
        <v>1</v>
      </c>
      <c r="E44" s="2" t="s">
        <v>336</v>
      </c>
      <c r="F44" s="2" t="s">
        <v>284</v>
      </c>
      <c r="G44" s="2" t="s">
        <v>32</v>
      </c>
      <c r="H44" s="2"/>
      <c r="I44" s="2"/>
      <c r="J44" s="2" t="s">
        <v>399</v>
      </c>
      <c r="K44" s="2"/>
    </row>
    <row r="45" spans="1:11">
      <c r="A45" s="2">
        <v>45</v>
      </c>
      <c r="B45" s="3" t="s">
        <v>1357</v>
      </c>
      <c r="C45" s="19" t="s">
        <v>1358</v>
      </c>
      <c r="D45" s="2">
        <v>1</v>
      </c>
      <c r="E45" s="2" t="s">
        <v>336</v>
      </c>
      <c r="F45" s="2" t="s">
        <v>284</v>
      </c>
      <c r="G45" s="2" t="s">
        <v>32</v>
      </c>
      <c r="H45" s="2"/>
      <c r="I45" s="2"/>
      <c r="J45" s="2" t="s">
        <v>399</v>
      </c>
      <c r="K45" s="2"/>
    </row>
    <row r="46" spans="1:11">
      <c r="A46" s="2">
        <v>46</v>
      </c>
      <c r="B46" s="3" t="s">
        <v>1359</v>
      </c>
      <c r="C46" s="19" t="s">
        <v>1360</v>
      </c>
      <c r="D46" s="2">
        <v>1</v>
      </c>
      <c r="E46" s="2" t="s">
        <v>336</v>
      </c>
      <c r="F46" s="2" t="s">
        <v>284</v>
      </c>
      <c r="G46" s="2" t="s">
        <v>32</v>
      </c>
      <c r="H46" s="2"/>
      <c r="I46" s="2"/>
      <c r="J46" s="2" t="s">
        <v>399</v>
      </c>
      <c r="K46" s="2"/>
    </row>
    <row r="47" spans="1:11">
      <c r="A47" s="2">
        <v>47</v>
      </c>
      <c r="B47" s="3" t="s">
        <v>1361</v>
      </c>
      <c r="C47" s="19" t="s">
        <v>1362</v>
      </c>
      <c r="D47" s="2">
        <v>1</v>
      </c>
      <c r="E47" s="2" t="s">
        <v>336</v>
      </c>
      <c r="F47" s="2" t="s">
        <v>284</v>
      </c>
      <c r="G47" s="2"/>
      <c r="H47" s="2"/>
      <c r="I47" s="2"/>
      <c r="J47" s="2" t="s">
        <v>1363</v>
      </c>
      <c r="K47" s="2"/>
    </row>
    <row r="48" s="35" customFormat="1" ht="28.5" spans="1:11">
      <c r="A48" s="5">
        <v>48</v>
      </c>
      <c r="B48" s="93" t="s">
        <v>1364</v>
      </c>
      <c r="C48" s="94" t="s">
        <v>1365</v>
      </c>
      <c r="D48" s="5">
        <v>1</v>
      </c>
      <c r="E48" s="5" t="s">
        <v>336</v>
      </c>
      <c r="F48" s="5" t="s">
        <v>284</v>
      </c>
      <c r="G48" s="5"/>
      <c r="H48" s="5"/>
      <c r="I48" s="5"/>
      <c r="J48" s="5" t="s">
        <v>792</v>
      </c>
      <c r="K48" s="102"/>
    </row>
    <row r="49" s="35" customFormat="1" ht="28.5" spans="1:11">
      <c r="A49" s="5">
        <v>49</v>
      </c>
      <c r="B49" s="93" t="s">
        <v>1366</v>
      </c>
      <c r="C49" s="94" t="s">
        <v>1367</v>
      </c>
      <c r="D49" s="5">
        <v>1</v>
      </c>
      <c r="E49" s="5" t="s">
        <v>336</v>
      </c>
      <c r="F49" s="5" t="s">
        <v>284</v>
      </c>
      <c r="G49" s="5"/>
      <c r="H49" s="5"/>
      <c r="I49" s="5"/>
      <c r="J49" s="5" t="s">
        <v>792</v>
      </c>
      <c r="K49" s="102"/>
    </row>
    <row r="50" s="35" customFormat="1" ht="28.5" spans="1:11">
      <c r="A50" s="5">
        <v>50</v>
      </c>
      <c r="B50" s="93" t="s">
        <v>1368</v>
      </c>
      <c r="C50" s="94" t="s">
        <v>1369</v>
      </c>
      <c r="D50" s="5">
        <v>1</v>
      </c>
      <c r="E50" s="5" t="s">
        <v>336</v>
      </c>
      <c r="F50" s="5" t="s">
        <v>284</v>
      </c>
      <c r="G50" s="5"/>
      <c r="H50" s="5"/>
      <c r="I50" s="5"/>
      <c r="J50" s="5" t="s">
        <v>792</v>
      </c>
      <c r="K50" s="102"/>
    </row>
    <row r="51" s="35" customFormat="1" ht="28.5" spans="1:11">
      <c r="A51" s="5">
        <v>51</v>
      </c>
      <c r="B51" s="93" t="s">
        <v>1370</v>
      </c>
      <c r="C51" s="94" t="s">
        <v>1371</v>
      </c>
      <c r="D51" s="5">
        <v>1</v>
      </c>
      <c r="E51" s="5" t="s">
        <v>336</v>
      </c>
      <c r="F51" s="5" t="s">
        <v>284</v>
      </c>
      <c r="G51" s="5"/>
      <c r="H51" s="5"/>
      <c r="I51" s="5"/>
      <c r="J51" s="5" t="s">
        <v>792</v>
      </c>
      <c r="K51" s="102"/>
    </row>
    <row r="52" s="35" customFormat="1" ht="28.5" spans="1:11">
      <c r="A52" s="5">
        <v>52</v>
      </c>
      <c r="B52" s="93" t="s">
        <v>1372</v>
      </c>
      <c r="C52" s="94" t="s">
        <v>1373</v>
      </c>
      <c r="D52" s="5">
        <v>1</v>
      </c>
      <c r="E52" s="5" t="s">
        <v>336</v>
      </c>
      <c r="F52" s="5" t="s">
        <v>284</v>
      </c>
      <c r="G52" s="5"/>
      <c r="H52" s="5"/>
      <c r="I52" s="5"/>
      <c r="J52" s="5" t="s">
        <v>792</v>
      </c>
      <c r="K52" s="103"/>
    </row>
    <row r="53" spans="1:10">
      <c r="A53" s="2">
        <v>53</v>
      </c>
      <c r="B53" s="99" t="s">
        <v>1374</v>
      </c>
      <c r="C53" s="100" t="s">
        <v>1375</v>
      </c>
      <c r="D53" s="27">
        <v>1</v>
      </c>
      <c r="E53" s="27" t="s">
        <v>336</v>
      </c>
      <c r="F53" s="27" t="s">
        <v>284</v>
      </c>
      <c r="G53" s="27"/>
      <c r="H53" s="27"/>
      <c r="I53" s="27"/>
      <c r="J53" s="2" t="s">
        <v>421</v>
      </c>
    </row>
    <row r="54" ht="29" customHeight="1" spans="1:11">
      <c r="A54" s="2">
        <v>54</v>
      </c>
      <c r="B54" s="3" t="s">
        <v>1376</v>
      </c>
      <c r="C54" s="100" t="s">
        <v>1377</v>
      </c>
      <c r="D54" s="2">
        <v>1</v>
      </c>
      <c r="E54" s="2" t="s">
        <v>336</v>
      </c>
      <c r="F54" s="2" t="s">
        <v>284</v>
      </c>
      <c r="G54" s="2"/>
      <c r="H54" s="2"/>
      <c r="I54" s="2"/>
      <c r="J54" s="2" t="s">
        <v>421</v>
      </c>
      <c r="K54" s="2"/>
    </row>
    <row r="55" ht="29" customHeight="1" spans="1:11">
      <c r="A55" s="2">
        <v>55</v>
      </c>
      <c r="B55" s="3" t="s">
        <v>1378</v>
      </c>
      <c r="C55" s="100" t="s">
        <v>1379</v>
      </c>
      <c r="D55" s="2">
        <v>1</v>
      </c>
      <c r="E55" s="2" t="s">
        <v>336</v>
      </c>
      <c r="F55" s="2" t="s">
        <v>284</v>
      </c>
      <c r="G55" s="2"/>
      <c r="H55" s="2"/>
      <c r="I55" s="2"/>
      <c r="J55" s="2" t="s">
        <v>421</v>
      </c>
      <c r="K55" s="2"/>
    </row>
    <row r="56" ht="29" customHeight="1" spans="1:11">
      <c r="A56" s="2">
        <v>56</v>
      </c>
      <c r="B56" s="3" t="s">
        <v>1380</v>
      </c>
      <c r="C56" s="100" t="s">
        <v>1381</v>
      </c>
      <c r="D56" s="2">
        <v>1</v>
      </c>
      <c r="E56" s="2" t="s">
        <v>336</v>
      </c>
      <c r="F56" s="2" t="s">
        <v>284</v>
      </c>
      <c r="G56" s="2"/>
      <c r="H56" s="2"/>
      <c r="I56" s="2"/>
      <c r="J56" s="2" t="s">
        <v>421</v>
      </c>
      <c r="K56" s="2"/>
    </row>
    <row r="57" ht="29" customHeight="1" spans="1:11">
      <c r="A57" s="2">
        <v>57</v>
      </c>
      <c r="B57" s="3" t="s">
        <v>1382</v>
      </c>
      <c r="C57" s="100" t="s">
        <v>1383</v>
      </c>
      <c r="D57" s="2">
        <v>1</v>
      </c>
      <c r="E57" s="2" t="s">
        <v>336</v>
      </c>
      <c r="F57" s="2" t="s">
        <v>284</v>
      </c>
      <c r="G57" s="2"/>
      <c r="H57" s="2"/>
      <c r="I57" s="2"/>
      <c r="J57" s="2" t="s">
        <v>421</v>
      </c>
      <c r="K57" s="2"/>
    </row>
    <row r="58" ht="29" customHeight="1" spans="1:11">
      <c r="A58" s="2">
        <v>58</v>
      </c>
      <c r="B58" s="3" t="s">
        <v>1384</v>
      </c>
      <c r="C58" s="19" t="s">
        <v>1385</v>
      </c>
      <c r="D58" s="2">
        <v>1</v>
      </c>
      <c r="E58" s="2" t="s">
        <v>336</v>
      </c>
      <c r="F58" s="2" t="s">
        <v>284</v>
      </c>
      <c r="G58" s="2"/>
      <c r="H58" s="2"/>
      <c r="I58" s="2"/>
      <c r="J58" s="2" t="s">
        <v>430</v>
      </c>
      <c r="K58" s="2"/>
    </row>
    <row r="59" ht="29" customHeight="1" spans="1:11">
      <c r="A59" s="2">
        <v>59</v>
      </c>
      <c r="B59" s="3" t="s">
        <v>1386</v>
      </c>
      <c r="C59" s="19" t="s">
        <v>1387</v>
      </c>
      <c r="D59" s="2">
        <v>1</v>
      </c>
      <c r="E59" s="2" t="s">
        <v>336</v>
      </c>
      <c r="F59" s="2" t="s">
        <v>284</v>
      </c>
      <c r="G59" s="2"/>
      <c r="H59" s="2"/>
      <c r="I59" s="2"/>
      <c r="J59" s="2" t="s">
        <v>430</v>
      </c>
      <c r="K59" s="2"/>
    </row>
    <row r="60" ht="29" customHeight="1" spans="1:11">
      <c r="A60" s="2">
        <v>60</v>
      </c>
      <c r="B60" s="3" t="s">
        <v>1388</v>
      </c>
      <c r="C60" s="19" t="s">
        <v>1389</v>
      </c>
      <c r="D60" s="2">
        <v>1</v>
      </c>
      <c r="E60" s="2" t="s">
        <v>336</v>
      </c>
      <c r="F60" s="2" t="s">
        <v>284</v>
      </c>
      <c r="G60" s="2"/>
      <c r="H60" s="2"/>
      <c r="I60" s="2"/>
      <c r="J60" s="2" t="s">
        <v>432</v>
      </c>
      <c r="K60" s="2"/>
    </row>
    <row r="61" ht="29" customHeight="1" spans="1:11">
      <c r="A61" s="2">
        <v>61</v>
      </c>
      <c r="B61" s="3" t="s">
        <v>1390</v>
      </c>
      <c r="C61" s="19" t="s">
        <v>1391</v>
      </c>
      <c r="D61" s="2">
        <v>1</v>
      </c>
      <c r="E61" s="2" t="s">
        <v>336</v>
      </c>
      <c r="F61" s="2" t="s">
        <v>284</v>
      </c>
      <c r="G61" s="2"/>
      <c r="H61" s="2"/>
      <c r="I61" s="2"/>
      <c r="J61" s="2" t="s">
        <v>127</v>
      </c>
      <c r="K61" s="2"/>
    </row>
    <row r="62" ht="29" customHeight="1" spans="1:11">
      <c r="A62" s="2">
        <v>62</v>
      </c>
      <c r="B62" s="3" t="s">
        <v>1392</v>
      </c>
      <c r="C62" s="19" t="s">
        <v>1393</v>
      </c>
      <c r="D62" s="2">
        <v>1</v>
      </c>
      <c r="E62" s="2" t="s">
        <v>336</v>
      </c>
      <c r="F62" s="2" t="s">
        <v>284</v>
      </c>
      <c r="G62" s="2"/>
      <c r="H62" s="2"/>
      <c r="I62" s="2"/>
      <c r="J62" s="2" t="s">
        <v>1394</v>
      </c>
      <c r="K62" s="2"/>
    </row>
    <row r="63" ht="29" customHeight="1" spans="1:11">
      <c r="A63" s="2"/>
      <c r="B63" s="3" t="s">
        <v>1395</v>
      </c>
      <c r="C63" s="19" t="s">
        <v>1396</v>
      </c>
      <c r="D63" s="2">
        <v>1</v>
      </c>
      <c r="E63" s="2" t="s">
        <v>336</v>
      </c>
      <c r="F63" s="2" t="s">
        <v>284</v>
      </c>
      <c r="G63" s="2"/>
      <c r="H63" s="2"/>
      <c r="I63" s="2"/>
      <c r="J63" s="2" t="s">
        <v>1394</v>
      </c>
      <c r="K63" s="2"/>
    </row>
    <row r="64" ht="29" customHeight="1" spans="1:11">
      <c r="A64" s="2"/>
      <c r="B64" s="3"/>
      <c r="C64" s="19"/>
      <c r="D64" s="2"/>
      <c r="E64" s="2"/>
      <c r="F64" s="2"/>
      <c r="G64" s="2"/>
      <c r="H64" s="2"/>
      <c r="I64" s="2"/>
      <c r="J64" s="2"/>
      <c r="K64" s="2"/>
    </row>
    <row r="65" ht="29" customHeight="1" spans="1:11">
      <c r="A65" s="2"/>
      <c r="B65" s="3"/>
      <c r="C65" s="19"/>
      <c r="D65" s="2"/>
      <c r="E65" s="2"/>
      <c r="F65" s="2"/>
      <c r="G65" s="2"/>
      <c r="H65" s="2"/>
      <c r="I65" s="2"/>
      <c r="J65" s="2"/>
      <c r="K65" s="2"/>
    </row>
  </sheetData>
  <mergeCells count="1">
    <mergeCell ref="A1:K1"/>
  </mergeCells>
  <pageMargins left="0.393055555555556" right="0.196527777777778" top="1" bottom="1" header="0.511805555555556" footer="0.511805555555556"/>
  <pageSetup paperSize="9" orientation="landscape"/>
  <headerFooter>
    <oddFooter>&amp;C第 &amp;P 页，共 &amp;N 页</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9"/>
  <sheetViews>
    <sheetView workbookViewId="0">
      <selection activeCell="C8" sqref="C8"/>
    </sheetView>
  </sheetViews>
  <sheetFormatPr defaultColWidth="9" defaultRowHeight="14.25"/>
  <cols>
    <col min="1" max="1" width="9" style="59"/>
    <col min="2" max="2" width="19.5" style="59" customWidth="1"/>
    <col min="3" max="3" width="9" style="84"/>
    <col min="4" max="4" width="9" style="59"/>
    <col min="5" max="6" width="12.875" style="59" customWidth="1"/>
    <col min="7" max="8" width="12.125" style="59" customWidth="1"/>
    <col min="9" max="16384" width="9" style="59"/>
  </cols>
  <sheetData>
    <row r="1" ht="36" customHeight="1" spans="1:13">
      <c r="A1" s="61" t="s">
        <v>1397</v>
      </c>
      <c r="B1" s="61"/>
      <c r="C1" s="62"/>
      <c r="D1" s="61"/>
      <c r="E1" s="61"/>
      <c r="F1" s="61"/>
      <c r="G1" s="61"/>
      <c r="H1" s="61"/>
      <c r="I1" s="61"/>
      <c r="J1" s="61"/>
      <c r="K1" s="73"/>
      <c r="L1" s="73"/>
      <c r="M1" s="73"/>
    </row>
    <row r="2" ht="21.95" customHeight="1" spans="1:10">
      <c r="A2" s="63" t="s">
        <v>1145</v>
      </c>
      <c r="B2" s="63" t="s">
        <v>2</v>
      </c>
      <c r="C2" s="85" t="s">
        <v>951</v>
      </c>
      <c r="D2" s="63" t="s">
        <v>952</v>
      </c>
      <c r="E2" s="63" t="s">
        <v>953</v>
      </c>
      <c r="F2" s="63" t="s">
        <v>954</v>
      </c>
      <c r="G2" s="63" t="s">
        <v>60</v>
      </c>
      <c r="H2" s="63" t="s">
        <v>1398</v>
      </c>
      <c r="I2" s="65" t="s">
        <v>1399</v>
      </c>
      <c r="J2" s="63" t="s">
        <v>12</v>
      </c>
    </row>
    <row r="3" ht="36" customHeight="1" spans="1:10">
      <c r="A3" s="66">
        <v>1</v>
      </c>
      <c r="B3" s="69" t="s">
        <v>1400</v>
      </c>
      <c r="C3" s="86" t="s">
        <v>1151</v>
      </c>
      <c r="D3" s="66">
        <v>1</v>
      </c>
      <c r="E3" s="66" t="s">
        <v>1148</v>
      </c>
      <c r="F3" s="66" t="s">
        <v>396</v>
      </c>
      <c r="G3" s="66"/>
      <c r="H3" s="87" t="s">
        <v>1246</v>
      </c>
      <c r="I3" s="88" t="s">
        <v>1325</v>
      </c>
      <c r="J3" s="89"/>
    </row>
    <row r="4" ht="36" customHeight="1" spans="1:10">
      <c r="A4" s="66">
        <v>2</v>
      </c>
      <c r="B4" s="69" t="s">
        <v>1400</v>
      </c>
      <c r="C4" s="86" t="s">
        <v>1401</v>
      </c>
      <c r="D4" s="66">
        <v>1</v>
      </c>
      <c r="E4" s="66" t="s">
        <v>1148</v>
      </c>
      <c r="F4" s="66" t="s">
        <v>396</v>
      </c>
      <c r="G4" s="66"/>
      <c r="H4" s="87" t="s">
        <v>1402</v>
      </c>
      <c r="I4" s="88"/>
      <c r="J4" s="89"/>
    </row>
    <row r="5" ht="36" customHeight="1" spans="1:10">
      <c r="A5" s="66">
        <v>3</v>
      </c>
      <c r="B5" s="69" t="s">
        <v>1400</v>
      </c>
      <c r="C5" s="86" t="s">
        <v>1403</v>
      </c>
      <c r="D5" s="66">
        <v>2</v>
      </c>
      <c r="E5" s="66" t="s">
        <v>1148</v>
      </c>
      <c r="F5" s="66" t="s">
        <v>396</v>
      </c>
      <c r="G5" s="66"/>
      <c r="H5" s="87" t="s">
        <v>914</v>
      </c>
      <c r="I5" s="88"/>
      <c r="J5" s="89"/>
    </row>
    <row r="6" spans="1:10">
      <c r="A6" s="69">
        <v>4</v>
      </c>
      <c r="B6" s="69" t="s">
        <v>1400</v>
      </c>
      <c r="C6" s="72" t="s">
        <v>1183</v>
      </c>
      <c r="D6" s="69">
        <v>1</v>
      </c>
      <c r="E6" s="69"/>
      <c r="F6" s="69"/>
      <c r="G6" s="69"/>
      <c r="H6" s="69">
        <v>20170306</v>
      </c>
      <c r="I6" s="69"/>
      <c r="J6" s="69"/>
    </row>
    <row r="7" spans="1:10">
      <c r="A7" s="69"/>
      <c r="B7" s="69"/>
      <c r="C7" s="72"/>
      <c r="D7" s="69"/>
      <c r="E7" s="69"/>
      <c r="F7" s="69"/>
      <c r="G7" s="69"/>
      <c r="H7" s="69"/>
      <c r="I7" s="69"/>
      <c r="J7" s="69"/>
    </row>
    <row r="8" spans="1:10">
      <c r="A8" s="69"/>
      <c r="B8" s="69"/>
      <c r="C8" s="72"/>
      <c r="D8" s="69"/>
      <c r="E8" s="69"/>
      <c r="F8" s="69"/>
      <c r="G8" s="69"/>
      <c r="H8" s="69"/>
      <c r="I8" s="69"/>
      <c r="J8" s="69"/>
    </row>
    <row r="9" spans="1:10">
      <c r="A9" s="69"/>
      <c r="B9" s="69"/>
      <c r="C9" s="72"/>
      <c r="D9" s="69"/>
      <c r="E9" s="69"/>
      <c r="F9" s="69"/>
      <c r="G9" s="69"/>
      <c r="H9" s="69"/>
      <c r="I9" s="69"/>
      <c r="J9" s="69"/>
    </row>
  </sheetData>
  <mergeCells count="1">
    <mergeCell ref="A1:J1"/>
  </mergeCells>
  <pageMargins left="0.751388888888889" right="0.751388888888889" top="1" bottom="1" header="0.507638888888889" footer="0.507638888888889"/>
  <pageSetup paperSize="9" orientation="landscape"/>
  <headerFooter>
    <oddFooter>&amp;C第 &amp;P 页，共 &amp;N 页</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6"/>
  <sheetViews>
    <sheetView topLeftCell="A26" workbookViewId="0">
      <selection activeCell="H32" sqref="H32"/>
    </sheetView>
  </sheetViews>
  <sheetFormatPr defaultColWidth="9" defaultRowHeight="14.25"/>
  <cols>
    <col min="1" max="1" width="6.425" style="7" customWidth="1"/>
    <col min="2" max="2" width="38.775" style="16" customWidth="1"/>
    <col min="3" max="3" width="15.875" style="17" customWidth="1"/>
    <col min="4" max="4" width="6" customWidth="1"/>
    <col min="5" max="6" width="16.375" customWidth="1"/>
    <col min="7" max="7" width="13" customWidth="1"/>
    <col min="8" max="8" width="10.375" customWidth="1"/>
  </cols>
  <sheetData>
    <row r="1" ht="27" spans="1:9">
      <c r="A1" s="74" t="s">
        <v>1404</v>
      </c>
      <c r="B1" s="75"/>
      <c r="C1" s="76"/>
      <c r="D1" s="75"/>
      <c r="E1" s="75"/>
      <c r="F1" s="75"/>
      <c r="G1" s="74"/>
      <c r="H1" s="74"/>
      <c r="I1" s="74"/>
    </row>
    <row r="2" s="36" customFormat="1" ht="28.5" spans="1:9">
      <c r="A2" s="77" t="s">
        <v>1</v>
      </c>
      <c r="B2" s="78" t="s">
        <v>2</v>
      </c>
      <c r="C2" s="79" t="s">
        <v>3</v>
      </c>
      <c r="D2" s="78" t="s">
        <v>4</v>
      </c>
      <c r="E2" s="78" t="s">
        <v>5</v>
      </c>
      <c r="F2" s="78" t="s">
        <v>6</v>
      </c>
      <c r="G2" s="78" t="s">
        <v>7</v>
      </c>
      <c r="H2" s="77" t="s">
        <v>8</v>
      </c>
      <c r="I2" s="77" t="s">
        <v>12</v>
      </c>
    </row>
    <row r="3" s="36" customFormat="1" ht="65" customHeight="1" spans="1:9">
      <c r="A3" s="6">
        <v>1</v>
      </c>
      <c r="B3" s="33" t="s">
        <v>1405</v>
      </c>
      <c r="C3" s="80" t="s">
        <v>1406</v>
      </c>
      <c r="D3" s="6">
        <v>2</v>
      </c>
      <c r="E3" s="33" t="s">
        <v>336</v>
      </c>
      <c r="F3" s="33" t="s">
        <v>284</v>
      </c>
      <c r="G3" s="6"/>
      <c r="H3" s="6"/>
      <c r="I3" s="6"/>
    </row>
    <row r="4" s="36" customFormat="1" ht="28.5" spans="1:9">
      <c r="A4" s="6">
        <v>2</v>
      </c>
      <c r="B4" s="33" t="s">
        <v>1407</v>
      </c>
      <c r="C4" s="80" t="s">
        <v>1406</v>
      </c>
      <c r="D4" s="6">
        <v>2</v>
      </c>
      <c r="E4" s="33" t="s">
        <v>336</v>
      </c>
      <c r="F4" s="33" t="s">
        <v>284</v>
      </c>
      <c r="G4" s="51" t="s">
        <v>286</v>
      </c>
      <c r="H4" s="51" t="s">
        <v>1408</v>
      </c>
      <c r="I4" s="51"/>
    </row>
    <row r="5" s="36" customFormat="1" ht="36" customHeight="1" spans="1:9">
      <c r="A5" s="6">
        <v>3</v>
      </c>
      <c r="B5" s="33" t="s">
        <v>1409</v>
      </c>
      <c r="C5" s="80" t="s">
        <v>1410</v>
      </c>
      <c r="D5" s="6">
        <v>3</v>
      </c>
      <c r="E5" s="33" t="s">
        <v>336</v>
      </c>
      <c r="F5" s="33" t="s">
        <v>284</v>
      </c>
      <c r="G5" s="51" t="s">
        <v>286</v>
      </c>
      <c r="H5" s="51" t="s">
        <v>1408</v>
      </c>
      <c r="I5" s="51"/>
    </row>
    <row r="6" s="36" customFormat="1" ht="28.5" spans="1:9">
      <c r="A6" s="6">
        <v>4</v>
      </c>
      <c r="B6" s="33" t="s">
        <v>1411</v>
      </c>
      <c r="C6" s="80" t="s">
        <v>1412</v>
      </c>
      <c r="D6" s="6">
        <v>1</v>
      </c>
      <c r="E6" s="33" t="s">
        <v>336</v>
      </c>
      <c r="F6" s="33" t="s">
        <v>284</v>
      </c>
      <c r="G6" s="51" t="s">
        <v>286</v>
      </c>
      <c r="H6" s="6" t="s">
        <v>343</v>
      </c>
      <c r="I6" s="77"/>
    </row>
    <row r="7" s="36" customFormat="1" ht="36" customHeight="1" spans="1:9">
      <c r="A7" s="6">
        <v>5</v>
      </c>
      <c r="B7" s="78" t="s">
        <v>1413</v>
      </c>
      <c r="C7" s="81" t="s">
        <v>1412</v>
      </c>
      <c r="D7" s="77">
        <v>1</v>
      </c>
      <c r="E7" s="78" t="s">
        <v>336</v>
      </c>
      <c r="F7" s="78" t="s">
        <v>284</v>
      </c>
      <c r="G7" s="82" t="s">
        <v>286</v>
      </c>
      <c r="H7" s="83" t="s">
        <v>343</v>
      </c>
      <c r="I7" s="82"/>
    </row>
    <row r="8" s="36" customFormat="1" ht="35" customHeight="1" spans="1:9">
      <c r="A8" s="6">
        <v>6</v>
      </c>
      <c r="B8" s="78" t="s">
        <v>1414</v>
      </c>
      <c r="C8" s="81" t="s">
        <v>1415</v>
      </c>
      <c r="D8" s="77">
        <v>1</v>
      </c>
      <c r="E8" s="78" t="s">
        <v>336</v>
      </c>
      <c r="F8" s="78" t="s">
        <v>284</v>
      </c>
      <c r="G8" s="82"/>
      <c r="H8" s="83"/>
      <c r="I8" s="82"/>
    </row>
    <row r="9" s="36" customFormat="1" ht="28.5" spans="1:9">
      <c r="A9" s="6">
        <v>7</v>
      </c>
      <c r="B9" s="50" t="s">
        <v>1416</v>
      </c>
      <c r="C9" s="80" t="s">
        <v>1415</v>
      </c>
      <c r="D9" s="51">
        <v>2</v>
      </c>
      <c r="E9" s="33" t="s">
        <v>336</v>
      </c>
      <c r="F9" s="33" t="s">
        <v>284</v>
      </c>
      <c r="G9" s="51" t="s">
        <v>22</v>
      </c>
      <c r="H9" s="51" t="s">
        <v>621</v>
      </c>
      <c r="I9" s="51"/>
    </row>
    <row r="10" s="36" customFormat="1" ht="23" customHeight="1" spans="1:9">
      <c r="A10" s="6">
        <v>8</v>
      </c>
      <c r="B10" s="50" t="s">
        <v>1417</v>
      </c>
      <c r="C10" s="51" t="s">
        <v>1406</v>
      </c>
      <c r="D10" s="51">
        <v>6</v>
      </c>
      <c r="E10" s="33" t="s">
        <v>336</v>
      </c>
      <c r="F10" s="33" t="s">
        <v>284</v>
      </c>
      <c r="G10" s="51"/>
      <c r="H10" s="51" t="s">
        <v>1418</v>
      </c>
      <c r="I10" s="50" t="s">
        <v>1419</v>
      </c>
    </row>
    <row r="11" s="36" customFormat="1" ht="28.5" spans="1:9">
      <c r="A11" s="6">
        <v>9</v>
      </c>
      <c r="B11" s="50" t="s">
        <v>1420</v>
      </c>
      <c r="C11" s="51" t="s">
        <v>1406</v>
      </c>
      <c r="D11" s="51">
        <v>2</v>
      </c>
      <c r="E11" s="33" t="s">
        <v>336</v>
      </c>
      <c r="F11" s="33" t="s">
        <v>284</v>
      </c>
      <c r="G11" s="51" t="s">
        <v>168</v>
      </c>
      <c r="H11" s="51" t="s">
        <v>1421</v>
      </c>
      <c r="I11" s="51"/>
    </row>
    <row r="12" s="36" customFormat="1" ht="28" customHeight="1" spans="1:9">
      <c r="A12" s="6">
        <v>10</v>
      </c>
      <c r="B12" s="50" t="s">
        <v>1422</v>
      </c>
      <c r="C12" s="51" t="s">
        <v>1423</v>
      </c>
      <c r="D12" s="51">
        <v>1</v>
      </c>
      <c r="E12" s="33" t="s">
        <v>336</v>
      </c>
      <c r="F12" s="33" t="s">
        <v>284</v>
      </c>
      <c r="G12" s="51" t="s">
        <v>17</v>
      </c>
      <c r="H12" s="51" t="s">
        <v>721</v>
      </c>
      <c r="I12" s="51"/>
    </row>
    <row r="13" s="36" customFormat="1" ht="28.5" spans="1:9">
      <c r="A13" s="6">
        <v>11</v>
      </c>
      <c r="B13" s="50" t="s">
        <v>1424</v>
      </c>
      <c r="C13" s="51" t="s">
        <v>1410</v>
      </c>
      <c r="D13" s="51">
        <v>1</v>
      </c>
      <c r="E13" s="33" t="s">
        <v>336</v>
      </c>
      <c r="F13" s="33" t="s">
        <v>284</v>
      </c>
      <c r="G13" s="51" t="s">
        <v>17</v>
      </c>
      <c r="H13" s="51" t="s">
        <v>393</v>
      </c>
      <c r="I13" s="50" t="s">
        <v>1425</v>
      </c>
    </row>
    <row r="14" s="36" customFormat="1" ht="24" customHeight="1" spans="1:9">
      <c r="A14" s="6">
        <v>12</v>
      </c>
      <c r="B14" s="51" t="s">
        <v>1426</v>
      </c>
      <c r="C14" s="51" t="s">
        <v>1427</v>
      </c>
      <c r="D14" s="51">
        <v>2</v>
      </c>
      <c r="E14" s="33" t="s">
        <v>336</v>
      </c>
      <c r="F14" s="33" t="s">
        <v>284</v>
      </c>
      <c r="G14" s="51" t="s">
        <v>32</v>
      </c>
      <c r="H14" s="51" t="s">
        <v>397</v>
      </c>
      <c r="I14" s="51"/>
    </row>
    <row r="15" s="36" customFormat="1" ht="37" customHeight="1" spans="1:9">
      <c r="A15" s="6">
        <v>13</v>
      </c>
      <c r="B15" s="50" t="s">
        <v>1428</v>
      </c>
      <c r="C15" s="51" t="s">
        <v>1423</v>
      </c>
      <c r="D15" s="51">
        <v>2</v>
      </c>
      <c r="E15" s="33" t="s">
        <v>336</v>
      </c>
      <c r="F15" s="33" t="s">
        <v>284</v>
      </c>
      <c r="G15" s="51" t="s">
        <v>32</v>
      </c>
      <c r="H15" s="51" t="s">
        <v>332</v>
      </c>
      <c r="I15" s="51"/>
    </row>
    <row r="16" s="36" customFormat="1" ht="33" customHeight="1" spans="1:9">
      <c r="A16" s="6">
        <v>14</v>
      </c>
      <c r="B16" s="50" t="s">
        <v>1429</v>
      </c>
      <c r="C16" s="51" t="s">
        <v>1430</v>
      </c>
      <c r="D16" s="51">
        <v>2</v>
      </c>
      <c r="E16" s="33" t="s">
        <v>336</v>
      </c>
      <c r="F16" s="33" t="s">
        <v>284</v>
      </c>
      <c r="G16" s="51" t="s">
        <v>32</v>
      </c>
      <c r="H16" s="51" t="s">
        <v>332</v>
      </c>
      <c r="I16" s="51"/>
    </row>
    <row r="17" s="36" customFormat="1" ht="28.5" spans="1:9">
      <c r="A17" s="6">
        <v>15</v>
      </c>
      <c r="B17" s="50" t="s">
        <v>1431</v>
      </c>
      <c r="C17" s="51" t="s">
        <v>1415</v>
      </c>
      <c r="D17" s="51">
        <v>2</v>
      </c>
      <c r="E17" s="33" t="s">
        <v>336</v>
      </c>
      <c r="F17" s="33" t="s">
        <v>284</v>
      </c>
      <c r="G17" s="51" t="s">
        <v>32</v>
      </c>
      <c r="H17" s="51" t="s">
        <v>766</v>
      </c>
      <c r="I17" s="51"/>
    </row>
    <row r="18" s="36" customFormat="1" spans="1:9">
      <c r="A18" s="6">
        <v>16</v>
      </c>
      <c r="B18" s="51" t="s">
        <v>1432</v>
      </c>
      <c r="C18" s="50" t="s">
        <v>1433</v>
      </c>
      <c r="D18" s="51">
        <v>2</v>
      </c>
      <c r="E18" s="33" t="s">
        <v>336</v>
      </c>
      <c r="F18" s="33" t="s">
        <v>284</v>
      </c>
      <c r="G18" s="51" t="s">
        <v>32</v>
      </c>
      <c r="H18" s="51" t="s">
        <v>766</v>
      </c>
      <c r="I18" s="51"/>
    </row>
    <row r="19" s="36" customFormat="1" spans="1:9">
      <c r="A19" s="6">
        <v>17</v>
      </c>
      <c r="B19" s="51" t="s">
        <v>1432</v>
      </c>
      <c r="C19" s="50" t="s">
        <v>1434</v>
      </c>
      <c r="D19" s="51">
        <v>2</v>
      </c>
      <c r="E19" s="33" t="s">
        <v>336</v>
      </c>
      <c r="F19" s="33" t="s">
        <v>284</v>
      </c>
      <c r="G19" s="51" t="s">
        <v>32</v>
      </c>
      <c r="H19" s="51" t="s">
        <v>766</v>
      </c>
      <c r="I19" s="51"/>
    </row>
    <row r="20" s="36" customFormat="1" spans="1:9">
      <c r="A20" s="6">
        <v>18</v>
      </c>
      <c r="B20" s="50" t="s">
        <v>1435</v>
      </c>
      <c r="C20" s="51" t="s">
        <v>1427</v>
      </c>
      <c r="D20" s="51">
        <v>1</v>
      </c>
      <c r="E20" s="33" t="s">
        <v>336</v>
      </c>
      <c r="F20" s="33" t="s">
        <v>284</v>
      </c>
      <c r="G20" s="51"/>
      <c r="H20" s="51" t="s">
        <v>1436</v>
      </c>
      <c r="I20" s="51"/>
    </row>
    <row r="21" s="36" customFormat="1" ht="28.5" spans="1:9">
      <c r="A21" s="6">
        <v>19</v>
      </c>
      <c r="B21" s="50" t="s">
        <v>1437</v>
      </c>
      <c r="C21" s="51" t="s">
        <v>1430</v>
      </c>
      <c r="D21" s="51"/>
      <c r="E21" s="33" t="s">
        <v>336</v>
      </c>
      <c r="F21" s="33" t="s">
        <v>284</v>
      </c>
      <c r="G21" s="51"/>
      <c r="H21" s="51"/>
      <c r="I21" s="51"/>
    </row>
    <row r="22" s="36" customFormat="1" ht="24" customHeight="1" spans="1:9">
      <c r="A22" s="6">
        <v>20</v>
      </c>
      <c r="B22" s="50" t="s">
        <v>1422</v>
      </c>
      <c r="C22" s="50" t="s">
        <v>1438</v>
      </c>
      <c r="D22" s="51">
        <v>2</v>
      </c>
      <c r="E22" s="33" t="s">
        <v>336</v>
      </c>
      <c r="F22" s="33" t="s">
        <v>284</v>
      </c>
      <c r="G22" s="51"/>
      <c r="H22" s="51" t="s">
        <v>805</v>
      </c>
      <c r="I22" s="51"/>
    </row>
    <row r="23" s="36" customFormat="1" ht="24" customHeight="1" spans="1:9">
      <c r="A23" s="6">
        <v>21</v>
      </c>
      <c r="B23" s="50" t="s">
        <v>1439</v>
      </c>
      <c r="C23" s="50" t="s">
        <v>1423</v>
      </c>
      <c r="D23" s="51">
        <v>2</v>
      </c>
      <c r="E23" s="33" t="s">
        <v>336</v>
      </c>
      <c r="F23" s="33" t="s">
        <v>284</v>
      </c>
      <c r="G23" s="51"/>
      <c r="H23" s="51" t="s">
        <v>425</v>
      </c>
      <c r="I23" s="51"/>
    </row>
    <row r="24" s="36" customFormat="1" ht="24" customHeight="1" spans="1:9">
      <c r="A24" s="6">
        <v>22</v>
      </c>
      <c r="B24" s="50" t="s">
        <v>1432</v>
      </c>
      <c r="C24" s="50" t="s">
        <v>1440</v>
      </c>
      <c r="D24" s="51">
        <v>2</v>
      </c>
      <c r="E24" s="33" t="s">
        <v>336</v>
      </c>
      <c r="F24" s="33" t="s">
        <v>284</v>
      </c>
      <c r="G24" s="51"/>
      <c r="H24" s="51" t="s">
        <v>425</v>
      </c>
      <c r="I24" s="51"/>
    </row>
    <row r="25" s="36" customFormat="1" ht="27" customHeight="1" spans="1:9">
      <c r="A25" s="6">
        <v>23</v>
      </c>
      <c r="B25" s="50" t="s">
        <v>1441</v>
      </c>
      <c r="C25" s="50" t="s">
        <v>1442</v>
      </c>
      <c r="D25" s="51">
        <v>1</v>
      </c>
      <c r="E25" s="33" t="s">
        <v>336</v>
      </c>
      <c r="F25" s="33" t="s">
        <v>284</v>
      </c>
      <c r="G25" s="51"/>
      <c r="H25" s="51" t="s">
        <v>1443</v>
      </c>
      <c r="I25" s="51"/>
    </row>
    <row r="26" s="36" customFormat="1" ht="24" customHeight="1" spans="1:9">
      <c r="A26" s="6">
        <v>24</v>
      </c>
      <c r="B26" s="50" t="s">
        <v>1444</v>
      </c>
      <c r="C26" s="50" t="s">
        <v>1445</v>
      </c>
      <c r="D26" s="51">
        <v>2</v>
      </c>
      <c r="E26" s="33" t="s">
        <v>336</v>
      </c>
      <c r="F26" s="33" t="s">
        <v>284</v>
      </c>
      <c r="G26" s="51"/>
      <c r="H26" s="51" t="s">
        <v>816</v>
      </c>
      <c r="I26" s="51"/>
    </row>
    <row r="27" s="36" customFormat="1" ht="24" customHeight="1" spans="1:9">
      <c r="A27" s="6">
        <v>25</v>
      </c>
      <c r="B27" s="50" t="s">
        <v>1446</v>
      </c>
      <c r="C27" s="50" t="s">
        <v>1447</v>
      </c>
      <c r="D27" s="51">
        <v>1</v>
      </c>
      <c r="E27" s="33" t="s">
        <v>336</v>
      </c>
      <c r="F27" s="33" t="s">
        <v>284</v>
      </c>
      <c r="G27" s="51"/>
      <c r="H27" s="51" t="s">
        <v>1448</v>
      </c>
      <c r="I27" s="51"/>
    </row>
    <row r="28" s="36" customFormat="1" ht="24" customHeight="1" spans="1:9">
      <c r="A28" s="6">
        <v>26</v>
      </c>
      <c r="B28" s="50" t="s">
        <v>1449</v>
      </c>
      <c r="C28" s="50" t="s">
        <v>1450</v>
      </c>
      <c r="D28" s="51">
        <v>2</v>
      </c>
      <c r="E28" s="33" t="s">
        <v>336</v>
      </c>
      <c r="F28" s="33" t="s">
        <v>284</v>
      </c>
      <c r="G28" s="51"/>
      <c r="H28" s="51" t="s">
        <v>1451</v>
      </c>
      <c r="I28" s="51"/>
    </row>
    <row r="29" s="36" customFormat="1" ht="24" customHeight="1" spans="1:9">
      <c r="A29" s="6">
        <v>27</v>
      </c>
      <c r="B29" s="50" t="s">
        <v>1452</v>
      </c>
      <c r="C29" s="50" t="s">
        <v>1453</v>
      </c>
      <c r="D29" s="51">
        <v>2</v>
      </c>
      <c r="E29" s="33" t="s">
        <v>336</v>
      </c>
      <c r="F29" s="33" t="s">
        <v>284</v>
      </c>
      <c r="G29" s="51"/>
      <c r="H29" s="51" t="s">
        <v>217</v>
      </c>
      <c r="I29" s="51"/>
    </row>
    <row r="30" s="36" customFormat="1" ht="24" customHeight="1" spans="1:9">
      <c r="A30" s="6">
        <v>28</v>
      </c>
      <c r="B30" s="50" t="s">
        <v>1454</v>
      </c>
      <c r="C30" s="50" t="s">
        <v>1455</v>
      </c>
      <c r="D30" s="51">
        <v>1</v>
      </c>
      <c r="E30" s="33" t="s">
        <v>336</v>
      </c>
      <c r="F30" s="33" t="s">
        <v>284</v>
      </c>
      <c r="G30" s="51"/>
      <c r="H30" s="51" t="s">
        <v>1211</v>
      </c>
      <c r="I30" s="51"/>
    </row>
    <row r="31" s="36" customFormat="1" ht="24" customHeight="1" spans="1:9">
      <c r="A31" s="6"/>
      <c r="B31" s="50"/>
      <c r="C31" s="51"/>
      <c r="D31" s="51"/>
      <c r="E31" s="33"/>
      <c r="F31" s="33"/>
      <c r="G31" s="51"/>
      <c r="H31" s="51"/>
      <c r="I31" s="51"/>
    </row>
    <row r="32" s="36" customFormat="1" ht="24" customHeight="1" spans="1:9">
      <c r="A32" s="6">
        <v>1</v>
      </c>
      <c r="B32" s="50" t="s">
        <v>1456</v>
      </c>
      <c r="C32" s="51"/>
      <c r="D32" s="51"/>
      <c r="E32" s="33"/>
      <c r="F32" s="33"/>
      <c r="G32" s="51"/>
      <c r="H32" s="51" t="s">
        <v>805</v>
      </c>
      <c r="I32" s="51"/>
    </row>
    <row r="33" s="36" customFormat="1" ht="24" customHeight="1" spans="1:9">
      <c r="A33" s="6">
        <v>2</v>
      </c>
      <c r="B33" s="50" t="s">
        <v>1457</v>
      </c>
      <c r="C33" s="51"/>
      <c r="D33" s="51">
        <v>2</v>
      </c>
      <c r="E33" s="33"/>
      <c r="F33" s="33"/>
      <c r="G33" s="51"/>
      <c r="H33" s="51" t="s">
        <v>217</v>
      </c>
      <c r="I33" s="51"/>
    </row>
    <row r="34" s="36" customFormat="1" ht="24" customHeight="1" spans="1:9">
      <c r="A34" s="6">
        <v>3</v>
      </c>
      <c r="B34" s="50" t="s">
        <v>1458</v>
      </c>
      <c r="C34" s="51"/>
      <c r="D34" s="51">
        <v>2</v>
      </c>
      <c r="E34" s="33"/>
      <c r="F34" s="33"/>
      <c r="G34" s="51"/>
      <c r="H34" s="51" t="s">
        <v>217</v>
      </c>
      <c r="I34" s="51"/>
    </row>
    <row r="35" s="36" customFormat="1" ht="24" customHeight="1" spans="1:9">
      <c r="A35" s="6">
        <v>4</v>
      </c>
      <c r="B35" s="50" t="s">
        <v>1459</v>
      </c>
      <c r="C35" s="51"/>
      <c r="D35" s="51">
        <v>2</v>
      </c>
      <c r="E35" s="33"/>
      <c r="F35" s="33"/>
      <c r="G35" s="51"/>
      <c r="H35" s="51" t="s">
        <v>217</v>
      </c>
      <c r="I35" s="51"/>
    </row>
    <row r="36" s="36" customFormat="1" ht="24" customHeight="1" spans="1:9">
      <c r="A36" s="6"/>
      <c r="B36" s="50"/>
      <c r="C36" s="51"/>
      <c r="D36" s="51"/>
      <c r="E36" s="33"/>
      <c r="F36" s="33"/>
      <c r="G36" s="51"/>
      <c r="H36" s="51"/>
      <c r="I36" s="51"/>
    </row>
    <row r="37" s="36" customFormat="1" ht="17" customHeight="1" spans="1:9">
      <c r="A37" s="6">
        <v>1</v>
      </c>
      <c r="B37" s="50" t="s">
        <v>1460</v>
      </c>
      <c r="C37" s="51" t="s">
        <v>1461</v>
      </c>
      <c r="D37" s="51"/>
      <c r="E37" s="33" t="s">
        <v>336</v>
      </c>
      <c r="F37" s="33" t="s">
        <v>284</v>
      </c>
      <c r="G37" s="51" t="s">
        <v>168</v>
      </c>
      <c r="H37" s="51" t="s">
        <v>1462</v>
      </c>
      <c r="I37" s="51"/>
    </row>
    <row r="38" s="36" customFormat="1" ht="17" customHeight="1" spans="1:9">
      <c r="A38" s="6">
        <v>2</v>
      </c>
      <c r="B38" s="50" t="s">
        <v>1463</v>
      </c>
      <c r="C38" s="51" t="s">
        <v>1464</v>
      </c>
      <c r="D38" s="51"/>
      <c r="E38" s="33" t="s">
        <v>336</v>
      </c>
      <c r="F38" s="33" t="s">
        <v>284</v>
      </c>
      <c r="G38" s="51" t="s">
        <v>17</v>
      </c>
      <c r="H38" s="51" t="s">
        <v>1465</v>
      </c>
      <c r="I38" s="51"/>
    </row>
    <row r="39" s="36" customFormat="1" ht="17" customHeight="1" spans="1:9">
      <c r="A39" s="6">
        <v>3</v>
      </c>
      <c r="B39" s="50" t="s">
        <v>1466</v>
      </c>
      <c r="C39" s="51" t="s">
        <v>1169</v>
      </c>
      <c r="D39" s="51"/>
      <c r="E39" s="33" t="s">
        <v>336</v>
      </c>
      <c r="F39" s="33" t="s">
        <v>284</v>
      </c>
      <c r="G39" s="51" t="s">
        <v>17</v>
      </c>
      <c r="H39" s="51" t="s">
        <v>1465</v>
      </c>
      <c r="I39" s="51"/>
    </row>
    <row r="40" s="36" customFormat="1" ht="17" customHeight="1" spans="1:9">
      <c r="A40" s="6">
        <v>4</v>
      </c>
      <c r="B40" s="51" t="s">
        <v>1467</v>
      </c>
      <c r="C40" s="51" t="s">
        <v>1171</v>
      </c>
      <c r="D40" s="51">
        <v>1</v>
      </c>
      <c r="E40" s="33" t="s">
        <v>336</v>
      </c>
      <c r="F40" s="33" t="s">
        <v>284</v>
      </c>
      <c r="G40" s="51" t="s">
        <v>32</v>
      </c>
      <c r="H40" s="51" t="s">
        <v>766</v>
      </c>
      <c r="I40" s="51"/>
    </row>
    <row r="41" s="36" customFormat="1" ht="17" customHeight="1" spans="1:9">
      <c r="A41" s="6">
        <v>5</v>
      </c>
      <c r="B41" s="51" t="s">
        <v>1467</v>
      </c>
      <c r="C41" s="51" t="s">
        <v>1174</v>
      </c>
      <c r="D41" s="51">
        <v>1</v>
      </c>
      <c r="E41" s="33" t="s">
        <v>336</v>
      </c>
      <c r="F41" s="33" t="s">
        <v>284</v>
      </c>
      <c r="G41" s="51" t="s">
        <v>32</v>
      </c>
      <c r="H41" s="51" t="s">
        <v>766</v>
      </c>
      <c r="I41" s="51"/>
    </row>
    <row r="42" s="36" customFormat="1" ht="17" customHeight="1" spans="1:9">
      <c r="A42" s="6">
        <v>6</v>
      </c>
      <c r="B42" s="51" t="s">
        <v>1468</v>
      </c>
      <c r="C42" s="51" t="s">
        <v>1177</v>
      </c>
      <c r="D42" s="51"/>
      <c r="E42" s="51" t="s">
        <v>1469</v>
      </c>
      <c r="F42" s="33" t="s">
        <v>284</v>
      </c>
      <c r="G42" s="51" t="s">
        <v>17</v>
      </c>
      <c r="H42" s="51" t="s">
        <v>411</v>
      </c>
      <c r="I42" s="51"/>
    </row>
    <row r="43" s="36" customFormat="1" ht="17" customHeight="1" spans="1:9">
      <c r="A43" s="6"/>
      <c r="B43" s="51" t="s">
        <v>1470</v>
      </c>
      <c r="C43" s="51" t="s">
        <v>1174</v>
      </c>
      <c r="D43" s="51"/>
      <c r="E43" s="51" t="s">
        <v>1469</v>
      </c>
      <c r="F43" s="33" t="s">
        <v>284</v>
      </c>
      <c r="G43" s="51"/>
      <c r="H43" s="51" t="s">
        <v>455</v>
      </c>
      <c r="I43" s="51"/>
    </row>
    <row r="44" s="36" customFormat="1" ht="17" customHeight="1" spans="1:9">
      <c r="A44" s="6"/>
      <c r="B44" s="51" t="s">
        <v>1471</v>
      </c>
      <c r="C44" s="51"/>
      <c r="D44" s="51"/>
      <c r="E44" s="51"/>
      <c r="F44" s="33"/>
      <c r="G44" s="51"/>
      <c r="H44" s="51" t="s">
        <v>455</v>
      </c>
      <c r="I44" s="51"/>
    </row>
    <row r="45" s="36" customFormat="1" ht="27" customHeight="1" spans="1:9">
      <c r="A45" s="6"/>
      <c r="B45" s="50" t="s">
        <v>1472</v>
      </c>
      <c r="C45" s="51" t="s">
        <v>1473</v>
      </c>
      <c r="D45" s="51"/>
      <c r="E45" s="51"/>
      <c r="F45" s="33"/>
      <c r="G45" s="51"/>
      <c r="H45" s="51" t="s">
        <v>442</v>
      </c>
      <c r="I45" s="51" t="s">
        <v>1474</v>
      </c>
    </row>
    <row r="46" s="36" customFormat="1" ht="17" customHeight="1" spans="1:9">
      <c r="A46" s="6"/>
      <c r="B46" s="51"/>
      <c r="C46" s="51"/>
      <c r="D46" s="51"/>
      <c r="E46" s="51"/>
      <c r="F46" s="33"/>
      <c r="G46" s="51"/>
      <c r="H46" s="51"/>
      <c r="I46" s="51"/>
    </row>
    <row r="47" s="36" customFormat="1" ht="17" customHeight="1" spans="1:9">
      <c r="A47" s="6">
        <v>7</v>
      </c>
      <c r="B47" s="50" t="s">
        <v>1475</v>
      </c>
      <c r="C47" s="51"/>
      <c r="D47" s="51"/>
      <c r="E47" s="33" t="s">
        <v>336</v>
      </c>
      <c r="F47" s="33" t="s">
        <v>284</v>
      </c>
      <c r="G47" s="51" t="s">
        <v>17</v>
      </c>
      <c r="H47" s="51" t="s">
        <v>1465</v>
      </c>
      <c r="I47" s="51"/>
    </row>
    <row r="48" s="36" customFormat="1" ht="17" customHeight="1" spans="1:9">
      <c r="A48" s="6">
        <v>8</v>
      </c>
      <c r="B48" s="50" t="s">
        <v>1476</v>
      </c>
      <c r="C48" s="51"/>
      <c r="D48" s="51"/>
      <c r="E48" s="51"/>
      <c r="F48" s="51"/>
      <c r="G48" s="51"/>
      <c r="H48" s="51"/>
      <c r="I48" s="51"/>
    </row>
    <row r="49" ht="17" customHeight="1" spans="1:9">
      <c r="A49" s="2">
        <v>9</v>
      </c>
      <c r="B49" s="50" t="s">
        <v>1477</v>
      </c>
      <c r="C49" s="13"/>
      <c r="D49" s="13"/>
      <c r="E49" s="13"/>
      <c r="F49" s="13"/>
      <c r="G49" s="13"/>
      <c r="H49" s="13"/>
      <c r="I49" s="13"/>
    </row>
    <row r="50" ht="17" customHeight="1" spans="1:9">
      <c r="A50" s="2">
        <v>10</v>
      </c>
      <c r="B50" s="13"/>
      <c r="C50" s="13"/>
      <c r="D50" s="13"/>
      <c r="E50" s="13"/>
      <c r="F50" s="13"/>
      <c r="G50" s="13"/>
      <c r="H50" s="13"/>
      <c r="I50" s="13"/>
    </row>
    <row r="51" ht="17" customHeight="1" spans="1:9">
      <c r="A51" s="2">
        <v>11</v>
      </c>
      <c r="B51" s="13"/>
      <c r="C51" s="13"/>
      <c r="D51" s="13"/>
      <c r="E51" s="13"/>
      <c r="F51" s="13"/>
      <c r="G51" s="13"/>
      <c r="H51" s="13"/>
      <c r="I51" s="13"/>
    </row>
    <row r="52" ht="17" customHeight="1" spans="1:9">
      <c r="A52" s="2">
        <v>12</v>
      </c>
      <c r="B52" s="13"/>
      <c r="C52" s="13"/>
      <c r="D52" s="13"/>
      <c r="E52" s="13"/>
      <c r="F52" s="13"/>
      <c r="G52" s="13"/>
      <c r="H52" s="13"/>
      <c r="I52" s="13"/>
    </row>
    <row r="53" spans="1:9">
      <c r="A53" s="2"/>
      <c r="B53" s="13"/>
      <c r="C53" s="13"/>
      <c r="D53" s="13"/>
      <c r="E53" s="13"/>
      <c r="F53" s="13"/>
      <c r="G53" s="13"/>
      <c r="H53" s="13"/>
      <c r="I53" s="13"/>
    </row>
    <row r="54" spans="1:9">
      <c r="A54" s="2"/>
      <c r="B54" s="3"/>
      <c r="C54" s="19"/>
      <c r="D54" s="13"/>
      <c r="E54" s="13"/>
      <c r="F54" s="13"/>
      <c r="G54" s="13"/>
      <c r="H54" s="13"/>
      <c r="I54" s="13"/>
    </row>
    <row r="55" ht="32.1" customHeight="1" spans="1:9">
      <c r="A55" s="2"/>
      <c r="B55" s="3"/>
      <c r="C55" s="19"/>
      <c r="D55" s="13"/>
      <c r="E55" s="13"/>
      <c r="F55" s="13"/>
      <c r="G55" s="13"/>
      <c r="H55" s="13"/>
      <c r="I55" s="13"/>
    </row>
    <row r="56" ht="32.1" customHeight="1"/>
    <row r="57" ht="32.1" customHeight="1"/>
    <row r="58" ht="32.1" customHeight="1"/>
    <row r="59" ht="32.1" customHeight="1"/>
    <row r="60" ht="32.1" customHeight="1"/>
    <row r="61" ht="32.1" customHeight="1"/>
    <row r="62" ht="32.1" customHeight="1"/>
    <row r="63" ht="32.1" customHeight="1"/>
    <row r="64" ht="32.1" customHeight="1"/>
    <row r="65" ht="32.1" customHeight="1"/>
    <row r="66" ht="32.1" customHeight="1"/>
    <row r="67" ht="32.1" customHeight="1"/>
    <row r="68" ht="32.1" customHeight="1"/>
    <row r="69" ht="32.1" customHeight="1"/>
    <row r="70" ht="32.1" customHeight="1"/>
    <row r="71" ht="32.1" customHeight="1"/>
    <row r="72" ht="32.1" customHeight="1"/>
    <row r="73" ht="32.1" customHeight="1"/>
    <row r="74" ht="32.1" customHeight="1"/>
    <row r="75" ht="32.1" customHeight="1"/>
    <row r="76" ht="32.1" customHeight="1"/>
    <row r="77" ht="32.1" customHeight="1"/>
    <row r="78" ht="32.1" customHeight="1"/>
    <row r="79" ht="32.1" customHeight="1"/>
    <row r="80" ht="32.1" customHeight="1"/>
    <row r="81" ht="32.1" customHeight="1"/>
    <row r="82" ht="32.1" customHeight="1"/>
    <row r="83" ht="32.1" customHeight="1"/>
    <row r="84" ht="32.1" customHeight="1"/>
    <row r="85" ht="32.1" customHeight="1"/>
    <row r="86" ht="32.1" customHeight="1"/>
  </sheetData>
  <mergeCells count="1">
    <mergeCell ref="A1:I1"/>
  </mergeCells>
  <pageMargins left="0.471527777777778" right="0.235416666666667" top="1" bottom="1" header="0.511805555555556" footer="0.511805555555556"/>
  <pageSetup paperSize="9" orientation="landscape"/>
  <headerFooter>
    <oddFooter>&amp;C第 &amp;P 页，共 &amp;N 页</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A13" workbookViewId="0">
      <selection activeCell="H22" sqref="H22"/>
    </sheetView>
  </sheetViews>
  <sheetFormatPr defaultColWidth="9" defaultRowHeight="14.25"/>
  <cols>
    <col min="1" max="1" width="9" style="59"/>
    <col min="2" max="2" width="27.125" style="60" customWidth="1"/>
    <col min="3" max="4" width="9" style="59"/>
    <col min="5" max="8" width="12.75" style="59" customWidth="1"/>
    <col min="9" max="16384" width="9" style="59"/>
  </cols>
  <sheetData>
    <row r="1" ht="35.1" customHeight="1" spans="1:12">
      <c r="A1" s="61" t="s">
        <v>1478</v>
      </c>
      <c r="B1" s="62"/>
      <c r="C1" s="61"/>
      <c r="D1" s="61"/>
      <c r="E1" s="61"/>
      <c r="F1" s="61"/>
      <c r="G1" s="61"/>
      <c r="H1" s="61"/>
      <c r="I1" s="61"/>
      <c r="J1" s="73"/>
      <c r="K1" s="73"/>
      <c r="L1" s="73"/>
    </row>
    <row r="2" ht="18" customHeight="1" spans="1:9">
      <c r="A2" s="63" t="s">
        <v>1145</v>
      </c>
      <c r="B2" s="64" t="s">
        <v>2</v>
      </c>
      <c r="C2" s="65" t="s">
        <v>951</v>
      </c>
      <c r="D2" s="63" t="s">
        <v>952</v>
      </c>
      <c r="E2" s="63" t="s">
        <v>953</v>
      </c>
      <c r="F2" s="63" t="s">
        <v>954</v>
      </c>
      <c r="G2" s="63" t="s">
        <v>60</v>
      </c>
      <c r="H2" s="63" t="s">
        <v>1479</v>
      </c>
      <c r="I2" s="63" t="s">
        <v>12</v>
      </c>
    </row>
    <row r="3" ht="36" customHeight="1" spans="1:9">
      <c r="A3" s="66">
        <v>1</v>
      </c>
      <c r="B3" s="67" t="s">
        <v>1480</v>
      </c>
      <c r="C3" s="68"/>
      <c r="D3" s="66" t="s">
        <v>1481</v>
      </c>
      <c r="E3" s="66" t="s">
        <v>1482</v>
      </c>
      <c r="F3" s="66" t="s">
        <v>1148</v>
      </c>
      <c r="G3" s="66"/>
      <c r="H3" s="66" t="s">
        <v>314</v>
      </c>
      <c r="I3" s="66"/>
    </row>
    <row r="4" ht="36" customHeight="1" spans="1:9">
      <c r="A4" s="66">
        <v>2</v>
      </c>
      <c r="B4" s="67" t="s">
        <v>1483</v>
      </c>
      <c r="C4" s="68"/>
      <c r="D4" s="66" t="s">
        <v>1245</v>
      </c>
      <c r="E4" s="66"/>
      <c r="F4" s="66"/>
      <c r="G4" s="66"/>
      <c r="H4" s="66" t="s">
        <v>1484</v>
      </c>
      <c r="I4" s="66"/>
    </row>
    <row r="5" ht="36" customHeight="1" spans="1:9">
      <c r="A5" s="66">
        <v>3</v>
      </c>
      <c r="B5" s="67" t="s">
        <v>1485</v>
      </c>
      <c r="C5" s="68"/>
      <c r="D5" s="66">
        <v>1</v>
      </c>
      <c r="E5" s="66"/>
      <c r="F5" s="66"/>
      <c r="G5" s="66"/>
      <c r="H5" s="66" t="s">
        <v>1486</v>
      </c>
      <c r="I5" s="66"/>
    </row>
    <row r="6" ht="68.1" customHeight="1" spans="1:9">
      <c r="A6" s="66">
        <v>4</v>
      </c>
      <c r="B6" s="67" t="s">
        <v>1487</v>
      </c>
      <c r="C6" s="68"/>
      <c r="D6" s="66">
        <v>1</v>
      </c>
      <c r="E6" s="66"/>
      <c r="F6" s="66"/>
      <c r="G6" s="66"/>
      <c r="H6" s="66"/>
      <c r="I6" s="66"/>
    </row>
    <row r="7" ht="36" customHeight="1" spans="1:9">
      <c r="A7" s="66">
        <v>5</v>
      </c>
      <c r="B7" s="67" t="s">
        <v>1488</v>
      </c>
      <c r="C7" s="68"/>
      <c r="D7" s="66">
        <v>1</v>
      </c>
      <c r="E7" s="66"/>
      <c r="F7" s="66"/>
      <c r="G7" s="66"/>
      <c r="H7" s="66" t="s">
        <v>1246</v>
      </c>
      <c r="I7" s="66"/>
    </row>
    <row r="8" ht="36" customHeight="1" spans="1:9">
      <c r="A8" s="66">
        <v>6</v>
      </c>
      <c r="B8" s="67" t="s">
        <v>1489</v>
      </c>
      <c r="C8" s="68"/>
      <c r="D8" s="66">
        <v>1</v>
      </c>
      <c r="E8" s="66"/>
      <c r="F8" s="66"/>
      <c r="G8" s="66"/>
      <c r="H8" s="66" t="s">
        <v>1490</v>
      </c>
      <c r="I8" s="66"/>
    </row>
    <row r="9" ht="36" customHeight="1" spans="1:9">
      <c r="A9" s="66">
        <v>7</v>
      </c>
      <c r="B9" s="67" t="s">
        <v>1491</v>
      </c>
      <c r="C9" s="68"/>
      <c r="D9" s="66"/>
      <c r="E9" s="66"/>
      <c r="F9" s="66"/>
      <c r="G9" s="66"/>
      <c r="H9" s="66" t="s">
        <v>1492</v>
      </c>
      <c r="I9" s="66" t="s">
        <v>781</v>
      </c>
    </row>
    <row r="10" ht="36" customHeight="1" spans="1:9">
      <c r="A10" s="66">
        <v>8</v>
      </c>
      <c r="B10" s="67" t="s">
        <v>1493</v>
      </c>
      <c r="C10" s="68"/>
      <c r="D10" s="66" t="s">
        <v>1494</v>
      </c>
      <c r="E10" s="66"/>
      <c r="F10" s="66"/>
      <c r="G10" s="66"/>
      <c r="H10" s="66" t="s">
        <v>1495</v>
      </c>
      <c r="I10" s="66"/>
    </row>
    <row r="11" ht="36" customHeight="1" spans="1:9">
      <c r="A11" s="66">
        <v>9</v>
      </c>
      <c r="B11" s="67" t="s">
        <v>1496</v>
      </c>
      <c r="C11" s="68"/>
      <c r="D11" s="66" t="s">
        <v>1497</v>
      </c>
      <c r="E11" s="66"/>
      <c r="F11" s="66"/>
      <c r="G11" s="67"/>
      <c r="H11" s="66" t="s">
        <v>1495</v>
      </c>
      <c r="I11" s="66"/>
    </row>
    <row r="12" ht="30.95" customHeight="1" spans="1:9">
      <c r="A12" s="66">
        <v>10</v>
      </c>
      <c r="B12" s="67" t="s">
        <v>1498</v>
      </c>
      <c r="C12" s="69"/>
      <c r="D12" s="69" t="s">
        <v>1499</v>
      </c>
      <c r="E12" s="69"/>
      <c r="F12" s="69"/>
      <c r="G12" s="69"/>
      <c r="H12" s="69"/>
      <c r="I12" s="69"/>
    </row>
    <row r="13" ht="28.5" spans="1:9">
      <c r="A13" s="66">
        <v>11</v>
      </c>
      <c r="B13" s="70" t="s">
        <v>1500</v>
      </c>
      <c r="C13" s="69"/>
      <c r="D13" s="71" t="s">
        <v>1501</v>
      </c>
      <c r="E13" s="69"/>
      <c r="F13" s="69"/>
      <c r="G13" s="69"/>
      <c r="H13" s="71" t="s">
        <v>1502</v>
      </c>
      <c r="I13" s="71" t="s">
        <v>1503</v>
      </c>
    </row>
    <row r="14" ht="68" customHeight="1" spans="1:9">
      <c r="A14" s="66">
        <v>12</v>
      </c>
      <c r="B14" s="67" t="s">
        <v>1504</v>
      </c>
      <c r="C14" s="69"/>
      <c r="D14" s="69" t="s">
        <v>1501</v>
      </c>
      <c r="E14" s="69"/>
      <c r="F14" s="69"/>
      <c r="G14" s="69"/>
      <c r="H14" s="69"/>
      <c r="I14" s="71" t="s">
        <v>1503</v>
      </c>
    </row>
    <row r="15" ht="28.5" spans="1:9">
      <c r="A15" s="66">
        <v>13</v>
      </c>
      <c r="B15" s="67" t="s">
        <v>1505</v>
      </c>
      <c r="C15" s="69"/>
      <c r="D15" s="69">
        <v>5</v>
      </c>
      <c r="E15" s="69"/>
      <c r="F15" s="69"/>
      <c r="G15" s="69"/>
      <c r="H15" s="69" t="s">
        <v>421</v>
      </c>
      <c r="I15" s="69"/>
    </row>
    <row r="16" ht="28.5" spans="1:9">
      <c r="A16" s="66">
        <v>14</v>
      </c>
      <c r="B16" s="67" t="s">
        <v>1506</v>
      </c>
      <c r="C16" s="72" t="s">
        <v>1507</v>
      </c>
      <c r="D16" s="69">
        <v>1</v>
      </c>
      <c r="E16" s="69"/>
      <c r="F16" s="69"/>
      <c r="G16" s="69"/>
      <c r="H16" s="69" t="s">
        <v>423</v>
      </c>
      <c r="I16" s="69"/>
    </row>
    <row r="17" ht="28.5" spans="1:9">
      <c r="A17" s="66">
        <v>15</v>
      </c>
      <c r="B17" s="67" t="s">
        <v>1508</v>
      </c>
      <c r="C17" s="72" t="s">
        <v>1509</v>
      </c>
      <c r="D17" s="69">
        <v>1</v>
      </c>
      <c r="E17" s="69"/>
      <c r="F17" s="69"/>
      <c r="G17" s="69"/>
      <c r="H17" s="69" t="s">
        <v>423</v>
      </c>
      <c r="I17" s="69"/>
    </row>
    <row r="18" ht="42.75" spans="1:9">
      <c r="A18" s="66">
        <v>16</v>
      </c>
      <c r="B18" s="67" t="s">
        <v>1510</v>
      </c>
      <c r="C18" s="69"/>
      <c r="D18" s="69" t="s">
        <v>1511</v>
      </c>
      <c r="E18" s="69"/>
      <c r="F18" s="69"/>
      <c r="G18" s="69"/>
      <c r="H18" s="69" t="s">
        <v>97</v>
      </c>
      <c r="I18" s="69"/>
    </row>
    <row r="19" ht="28.5" spans="1:9">
      <c r="A19" s="66">
        <v>17</v>
      </c>
      <c r="B19" s="67" t="s">
        <v>1512</v>
      </c>
      <c r="C19" s="72" t="s">
        <v>1513</v>
      </c>
      <c r="D19" s="69"/>
      <c r="E19" s="69"/>
      <c r="F19" s="69"/>
      <c r="G19" s="69"/>
      <c r="H19" s="69" t="s">
        <v>1514</v>
      </c>
      <c r="I19" s="69"/>
    </row>
    <row r="20" ht="28.5" spans="1:9">
      <c r="A20" s="66">
        <v>18</v>
      </c>
      <c r="B20" s="67" t="s">
        <v>1515</v>
      </c>
      <c r="C20" s="72" t="s">
        <v>1516</v>
      </c>
      <c r="D20" s="69"/>
      <c r="E20" s="69"/>
      <c r="G20" s="69"/>
      <c r="H20" s="69"/>
      <c r="I20" s="69"/>
    </row>
    <row r="21" ht="30" customHeight="1" spans="1:9">
      <c r="A21" s="66">
        <v>19</v>
      </c>
      <c r="B21" s="67" t="s">
        <v>1517</v>
      </c>
      <c r="C21" s="69"/>
      <c r="D21" s="69"/>
      <c r="E21" s="69"/>
      <c r="F21" s="69"/>
      <c r="G21" s="69"/>
      <c r="H21" s="69" t="s">
        <v>211</v>
      </c>
      <c r="I21" s="69"/>
    </row>
    <row r="22" spans="1:9">
      <c r="A22" s="69"/>
      <c r="B22" s="67"/>
      <c r="C22" s="69"/>
      <c r="D22" s="69"/>
      <c r="E22" s="69"/>
      <c r="F22" s="69"/>
      <c r="G22" s="69"/>
      <c r="H22" s="69"/>
      <c r="I22" s="69"/>
    </row>
    <row r="23" spans="1:9">
      <c r="A23" s="69"/>
      <c r="B23" s="67"/>
      <c r="C23" s="69"/>
      <c r="D23" s="69"/>
      <c r="E23" s="69"/>
      <c r="F23" s="69"/>
      <c r="G23" s="69"/>
      <c r="H23" s="69"/>
      <c r="I23" s="69"/>
    </row>
    <row r="24" spans="1:9">
      <c r="A24" s="69"/>
      <c r="B24" s="67"/>
      <c r="C24" s="69"/>
      <c r="D24" s="69"/>
      <c r="E24" s="69"/>
      <c r="F24" s="69"/>
      <c r="G24" s="69"/>
      <c r="H24" s="69"/>
      <c r="I24" s="69"/>
    </row>
  </sheetData>
  <mergeCells count="1">
    <mergeCell ref="A1:I1"/>
  </mergeCells>
  <pageMargins left="0.75" right="0.75" top="1" bottom="1" header="0.509027777777778" footer="0.509027777777778"/>
  <pageSetup paperSize="9" orientation="landscape"/>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17"/>
  <sheetViews>
    <sheetView topLeftCell="A27" workbookViewId="0">
      <selection activeCell="B32" sqref="B32:B35"/>
    </sheetView>
  </sheetViews>
  <sheetFormatPr defaultColWidth="9" defaultRowHeight="14.25"/>
  <cols>
    <col min="1" max="1" width="5.875" style="7" customWidth="1"/>
    <col min="2" max="2" width="40.75" style="41" customWidth="1"/>
    <col min="3" max="3" width="11.5" style="42" customWidth="1"/>
    <col min="4" max="4" width="8.75" style="16" customWidth="1"/>
    <col min="5" max="6" width="16" style="7" customWidth="1"/>
    <col min="7" max="8" width="8.875" style="7" customWidth="1"/>
    <col min="9" max="9" width="10.125" style="7" customWidth="1"/>
    <col min="10" max="10" width="6.875" style="7" customWidth="1"/>
  </cols>
  <sheetData>
    <row r="1" ht="27" spans="1:13">
      <c r="A1" s="18" t="s">
        <v>1518</v>
      </c>
      <c r="B1" s="43"/>
      <c r="C1" s="44"/>
      <c r="D1" s="44"/>
      <c r="E1" s="18"/>
      <c r="F1" s="18"/>
      <c r="G1" s="18"/>
      <c r="H1" s="18"/>
      <c r="I1" s="18"/>
      <c r="J1" s="18"/>
      <c r="K1" s="21"/>
      <c r="L1" s="21"/>
      <c r="M1" s="21"/>
    </row>
    <row r="2" ht="33.95" customHeight="1" spans="1:10">
      <c r="A2" s="2" t="s">
        <v>1</v>
      </c>
      <c r="B2" s="3" t="s">
        <v>2</v>
      </c>
      <c r="C2" s="22" t="s">
        <v>3</v>
      </c>
      <c r="D2" s="3" t="s">
        <v>4</v>
      </c>
      <c r="E2" s="2" t="s">
        <v>5</v>
      </c>
      <c r="F2" s="2" t="s">
        <v>6</v>
      </c>
      <c r="G2" s="3" t="s">
        <v>7</v>
      </c>
      <c r="H2" s="3" t="s">
        <v>60</v>
      </c>
      <c r="I2" s="2" t="s">
        <v>840</v>
      </c>
      <c r="J2" s="2" t="s">
        <v>12</v>
      </c>
    </row>
    <row r="3" s="35" customFormat="1" ht="28.5" spans="1:10">
      <c r="A3" s="45">
        <v>1</v>
      </c>
      <c r="B3" s="46" t="s">
        <v>1519</v>
      </c>
      <c r="C3" s="47" t="s">
        <v>1520</v>
      </c>
      <c r="D3" s="48" t="s">
        <v>1521</v>
      </c>
      <c r="E3" s="48" t="s">
        <v>1522</v>
      </c>
      <c r="F3" s="48" t="s">
        <v>284</v>
      </c>
      <c r="G3" s="45"/>
      <c r="H3" s="45"/>
      <c r="I3" s="45"/>
      <c r="J3" s="45"/>
    </row>
    <row r="4" s="35" customFormat="1" ht="28.5" spans="1:11">
      <c r="A4" s="45">
        <v>2</v>
      </c>
      <c r="B4" s="46" t="s">
        <v>1523</v>
      </c>
      <c r="C4" s="47" t="s">
        <v>1520</v>
      </c>
      <c r="D4" s="48" t="s">
        <v>1524</v>
      </c>
      <c r="E4" s="48" t="s">
        <v>1522</v>
      </c>
      <c r="F4" s="48" t="s">
        <v>284</v>
      </c>
      <c r="G4" s="45"/>
      <c r="H4" s="45"/>
      <c r="I4" s="45"/>
      <c r="J4" s="53"/>
      <c r="K4" s="54"/>
    </row>
    <row r="5" s="35" customFormat="1" ht="68" customHeight="1" spans="1:11">
      <c r="A5" s="45">
        <v>3</v>
      </c>
      <c r="B5" s="3" t="s">
        <v>1525</v>
      </c>
      <c r="C5" s="19" t="s">
        <v>958</v>
      </c>
      <c r="D5" s="2" t="s">
        <v>255</v>
      </c>
      <c r="E5" s="3" t="s">
        <v>1234</v>
      </c>
      <c r="F5" s="2" t="s">
        <v>336</v>
      </c>
      <c r="G5" s="3" t="s">
        <v>150</v>
      </c>
      <c r="H5" s="2" t="s">
        <v>366</v>
      </c>
      <c r="I5" s="27" t="s">
        <v>651</v>
      </c>
      <c r="J5" s="55"/>
      <c r="K5" s="56"/>
    </row>
    <row r="6" ht="71.25" spans="1:10">
      <c r="A6" s="45">
        <v>4</v>
      </c>
      <c r="B6" s="49" t="s">
        <v>1526</v>
      </c>
      <c r="C6" s="13"/>
      <c r="D6" s="3" t="s">
        <v>1527</v>
      </c>
      <c r="E6" s="3" t="s">
        <v>1522</v>
      </c>
      <c r="F6" s="3" t="s">
        <v>284</v>
      </c>
      <c r="G6" s="13"/>
      <c r="H6" s="13"/>
      <c r="I6" s="13"/>
      <c r="J6" s="13"/>
    </row>
    <row r="7" ht="142" customHeight="1" spans="1:10">
      <c r="A7" s="45">
        <v>5</v>
      </c>
      <c r="B7" s="49" t="s">
        <v>1528</v>
      </c>
      <c r="C7" s="13"/>
      <c r="D7" s="3" t="s">
        <v>1527</v>
      </c>
      <c r="E7" s="3" t="s">
        <v>1522</v>
      </c>
      <c r="F7" s="3" t="s">
        <v>284</v>
      </c>
      <c r="G7" s="13"/>
      <c r="H7" s="13"/>
      <c r="I7" s="57"/>
      <c r="J7" s="13"/>
    </row>
    <row r="8" ht="128.25" spans="1:10">
      <c r="A8" s="45">
        <v>6</v>
      </c>
      <c r="B8" s="49" t="s">
        <v>1528</v>
      </c>
      <c r="C8" s="13"/>
      <c r="D8" s="3" t="s">
        <v>255</v>
      </c>
      <c r="E8" s="3" t="s">
        <v>1522</v>
      </c>
      <c r="F8" s="3" t="s">
        <v>284</v>
      </c>
      <c r="G8" s="13"/>
      <c r="H8" s="13"/>
      <c r="I8" s="57"/>
      <c r="J8" s="13"/>
    </row>
    <row r="9" ht="36" customHeight="1" spans="1:10">
      <c r="A9" s="45">
        <v>7</v>
      </c>
      <c r="B9" s="49" t="s">
        <v>1529</v>
      </c>
      <c r="C9" s="49" t="s">
        <v>1530</v>
      </c>
      <c r="D9" s="3" t="s">
        <v>1531</v>
      </c>
      <c r="E9" s="3" t="s">
        <v>1522</v>
      </c>
      <c r="F9" s="3" t="s">
        <v>284</v>
      </c>
      <c r="G9" s="13"/>
      <c r="H9" s="13"/>
      <c r="I9" s="57"/>
      <c r="J9" s="13"/>
    </row>
    <row r="10" ht="33" customHeight="1" spans="1:10">
      <c r="A10" s="45">
        <v>8</v>
      </c>
      <c r="B10" s="49" t="s">
        <v>1532</v>
      </c>
      <c r="C10" s="49" t="s">
        <v>1533</v>
      </c>
      <c r="D10" s="3" t="s">
        <v>1531</v>
      </c>
      <c r="E10" s="3" t="s">
        <v>1522</v>
      </c>
      <c r="F10" s="3" t="s">
        <v>284</v>
      </c>
      <c r="G10" s="13"/>
      <c r="H10" s="13"/>
      <c r="I10" s="57"/>
      <c r="J10" s="13"/>
    </row>
    <row r="11" ht="33" customHeight="1" spans="1:10">
      <c r="A11" s="45">
        <v>9</v>
      </c>
      <c r="B11" s="49" t="s">
        <v>1534</v>
      </c>
      <c r="C11" s="49" t="s">
        <v>1535</v>
      </c>
      <c r="D11" s="3" t="s">
        <v>1531</v>
      </c>
      <c r="E11" s="3" t="s">
        <v>1522</v>
      </c>
      <c r="F11" s="3" t="s">
        <v>284</v>
      </c>
      <c r="G11" s="13"/>
      <c r="H11" s="13"/>
      <c r="I11" s="57"/>
      <c r="J11" s="13"/>
    </row>
    <row r="12" ht="33" customHeight="1" spans="1:10">
      <c r="A12" s="45">
        <v>10</v>
      </c>
      <c r="B12" s="49" t="s">
        <v>1536</v>
      </c>
      <c r="C12" s="49" t="s">
        <v>1537</v>
      </c>
      <c r="D12" s="3" t="s">
        <v>1531</v>
      </c>
      <c r="E12" s="3" t="s">
        <v>1522</v>
      </c>
      <c r="F12" s="3" t="s">
        <v>284</v>
      </c>
      <c r="G12" s="13"/>
      <c r="H12" s="13"/>
      <c r="I12" s="57"/>
      <c r="J12" s="13"/>
    </row>
    <row r="13" ht="33" customHeight="1" spans="1:10">
      <c r="A13" s="45">
        <v>11</v>
      </c>
      <c r="B13" s="49" t="s">
        <v>1538</v>
      </c>
      <c r="C13" s="49" t="s">
        <v>1539</v>
      </c>
      <c r="D13" s="3" t="s">
        <v>1531</v>
      </c>
      <c r="E13" s="3" t="s">
        <v>1522</v>
      </c>
      <c r="F13" s="3" t="s">
        <v>284</v>
      </c>
      <c r="G13" s="13"/>
      <c r="H13" s="13"/>
      <c r="I13" s="57"/>
      <c r="J13" s="13"/>
    </row>
    <row r="14" ht="26" customHeight="1" spans="1:10">
      <c r="A14" s="45">
        <v>12</v>
      </c>
      <c r="B14" s="49" t="s">
        <v>1540</v>
      </c>
      <c r="C14" s="49" t="s">
        <v>1541</v>
      </c>
      <c r="D14" s="3" t="s">
        <v>1531</v>
      </c>
      <c r="E14" s="3" t="s">
        <v>1522</v>
      </c>
      <c r="F14" s="3" t="s">
        <v>284</v>
      </c>
      <c r="G14" s="13"/>
      <c r="H14" s="13"/>
      <c r="I14" s="57"/>
      <c r="J14" s="13"/>
    </row>
    <row r="15" ht="26" customHeight="1" spans="1:12">
      <c r="A15" s="45">
        <v>13</v>
      </c>
      <c r="B15" s="49" t="s">
        <v>1542</v>
      </c>
      <c r="C15" s="49" t="s">
        <v>1543</v>
      </c>
      <c r="D15" s="3" t="s">
        <v>1531</v>
      </c>
      <c r="E15" s="3" t="s">
        <v>1522</v>
      </c>
      <c r="F15" s="3" t="s">
        <v>284</v>
      </c>
      <c r="G15" s="13"/>
      <c r="H15" s="13"/>
      <c r="I15" s="57"/>
      <c r="J15" s="58"/>
      <c r="K15" s="15"/>
      <c r="L15" s="15"/>
    </row>
    <row r="16" ht="26" customHeight="1" spans="1:12">
      <c r="A16" s="45">
        <v>14</v>
      </c>
      <c r="B16" s="49" t="s">
        <v>1544</v>
      </c>
      <c r="C16" s="49" t="s">
        <v>1545</v>
      </c>
      <c r="D16" s="3" t="s">
        <v>1531</v>
      </c>
      <c r="E16" s="3" t="s">
        <v>1522</v>
      </c>
      <c r="F16" s="3" t="s">
        <v>284</v>
      </c>
      <c r="G16" s="13"/>
      <c r="H16" s="13"/>
      <c r="I16" s="57"/>
      <c r="J16" s="58"/>
      <c r="K16" s="15"/>
      <c r="L16" s="15"/>
    </row>
    <row r="17" ht="26" customHeight="1" spans="1:12">
      <c r="A17" s="45">
        <v>15</v>
      </c>
      <c r="B17" s="49" t="s">
        <v>1546</v>
      </c>
      <c r="C17" s="49" t="s">
        <v>1547</v>
      </c>
      <c r="D17" s="3" t="s">
        <v>1531</v>
      </c>
      <c r="E17" s="3" t="s">
        <v>1522</v>
      </c>
      <c r="F17" s="3" t="s">
        <v>284</v>
      </c>
      <c r="G17" s="13"/>
      <c r="H17" s="13"/>
      <c r="I17" s="57"/>
      <c r="J17" s="58"/>
      <c r="K17" s="15"/>
      <c r="L17" s="15"/>
    </row>
    <row r="18" ht="26" customHeight="1" spans="1:12">
      <c r="A18" s="45">
        <v>16</v>
      </c>
      <c r="B18" s="3" t="s">
        <v>1548</v>
      </c>
      <c r="C18" s="19" t="s">
        <v>1549</v>
      </c>
      <c r="D18" s="3" t="s">
        <v>1531</v>
      </c>
      <c r="E18" s="3" t="s">
        <v>1522</v>
      </c>
      <c r="F18" s="3" t="s">
        <v>284</v>
      </c>
      <c r="G18" s="3"/>
      <c r="H18" s="2"/>
      <c r="I18" s="12"/>
      <c r="J18" s="8"/>
      <c r="K18" s="56"/>
      <c r="L18" s="15"/>
    </row>
    <row r="19" ht="26" customHeight="1" spans="1:12">
      <c r="A19" s="45">
        <v>17</v>
      </c>
      <c r="B19" s="49" t="s">
        <v>1550</v>
      </c>
      <c r="C19" s="49" t="s">
        <v>1551</v>
      </c>
      <c r="D19" s="3" t="s">
        <v>1531</v>
      </c>
      <c r="E19" s="3" t="s">
        <v>1522</v>
      </c>
      <c r="F19" s="3" t="s">
        <v>284</v>
      </c>
      <c r="G19" s="13"/>
      <c r="H19" s="13"/>
      <c r="I19" s="57"/>
      <c r="J19" s="58"/>
      <c r="K19" s="15"/>
      <c r="L19" s="15"/>
    </row>
    <row r="20" s="36" customFormat="1" ht="26" customHeight="1" spans="1:10">
      <c r="A20" s="45">
        <v>18</v>
      </c>
      <c r="B20" s="50" t="s">
        <v>1552</v>
      </c>
      <c r="C20" s="51"/>
      <c r="D20" s="33" t="s">
        <v>1531</v>
      </c>
      <c r="E20" s="33" t="s">
        <v>1522</v>
      </c>
      <c r="F20" s="33" t="s">
        <v>284</v>
      </c>
      <c r="G20" s="51"/>
      <c r="H20" s="51"/>
      <c r="I20" s="51"/>
      <c r="J20" s="51"/>
    </row>
    <row r="21" ht="26" customHeight="1" spans="1:10">
      <c r="A21" s="45">
        <v>19</v>
      </c>
      <c r="B21" s="49" t="s">
        <v>1553</v>
      </c>
      <c r="C21" s="13" t="s">
        <v>1554</v>
      </c>
      <c r="D21" s="3" t="s">
        <v>1531</v>
      </c>
      <c r="E21" s="3" t="s">
        <v>1522</v>
      </c>
      <c r="F21" s="3" t="s">
        <v>284</v>
      </c>
      <c r="G21" s="13"/>
      <c r="H21" s="13"/>
      <c r="I21" s="13"/>
      <c r="J21" s="13"/>
    </row>
    <row r="22" ht="33" customHeight="1" spans="1:10">
      <c r="A22" s="45">
        <v>20</v>
      </c>
      <c r="B22" s="49" t="s">
        <v>1555</v>
      </c>
      <c r="C22" s="49" t="s">
        <v>1556</v>
      </c>
      <c r="D22" s="3" t="s">
        <v>1557</v>
      </c>
      <c r="E22" s="3"/>
      <c r="F22" s="3"/>
      <c r="G22" s="13"/>
      <c r="H22" s="13"/>
      <c r="I22" s="13" t="s">
        <v>1558</v>
      </c>
      <c r="J22" s="13"/>
    </row>
    <row r="23" ht="33" customHeight="1" spans="1:10">
      <c r="A23" s="45">
        <v>21</v>
      </c>
      <c r="B23" s="49" t="s">
        <v>1559</v>
      </c>
      <c r="C23" s="49" t="s">
        <v>1560</v>
      </c>
      <c r="D23" s="3" t="s">
        <v>1557</v>
      </c>
      <c r="E23" s="13"/>
      <c r="F23" s="13"/>
      <c r="G23" s="13"/>
      <c r="H23" s="13"/>
      <c r="I23" s="13" t="s">
        <v>1558</v>
      </c>
      <c r="J23" s="13"/>
    </row>
    <row r="24" ht="33" customHeight="1" spans="1:10">
      <c r="A24" s="45">
        <v>22</v>
      </c>
      <c r="B24" s="49" t="s">
        <v>1546</v>
      </c>
      <c r="C24" s="49" t="s">
        <v>1561</v>
      </c>
      <c r="D24" s="3" t="s">
        <v>1557</v>
      </c>
      <c r="E24" s="13"/>
      <c r="F24" s="13"/>
      <c r="G24" s="13"/>
      <c r="H24" s="13"/>
      <c r="I24" s="13" t="s">
        <v>1558</v>
      </c>
      <c r="J24" s="13"/>
    </row>
    <row r="25" ht="47.1" customHeight="1" spans="1:10">
      <c r="A25" s="45">
        <v>23</v>
      </c>
      <c r="B25" s="49" t="s">
        <v>1562</v>
      </c>
      <c r="C25" s="49" t="s">
        <v>1563</v>
      </c>
      <c r="D25" s="3" t="s">
        <v>1557</v>
      </c>
      <c r="E25" s="13"/>
      <c r="F25" s="13"/>
      <c r="G25" s="13"/>
      <c r="H25" s="13"/>
      <c r="I25" s="13" t="s">
        <v>1558</v>
      </c>
      <c r="J25"/>
    </row>
    <row r="26" ht="33" customHeight="1" spans="1:10">
      <c r="A26" s="45">
        <v>24</v>
      </c>
      <c r="B26" s="52" t="s">
        <v>1538</v>
      </c>
      <c r="C26" s="49" t="s">
        <v>1564</v>
      </c>
      <c r="D26" s="3" t="s">
        <v>1557</v>
      </c>
      <c r="E26" s="13"/>
      <c r="F26" s="13"/>
      <c r="G26" s="13"/>
      <c r="H26" s="13"/>
      <c r="I26" s="13" t="s">
        <v>1558</v>
      </c>
      <c r="J26"/>
    </row>
    <row r="27" ht="33" customHeight="1" spans="1:10">
      <c r="A27" s="45">
        <v>25</v>
      </c>
      <c r="B27" s="49" t="s">
        <v>1536</v>
      </c>
      <c r="C27" s="49" t="s">
        <v>1565</v>
      </c>
      <c r="D27" s="3" t="s">
        <v>1557</v>
      </c>
      <c r="E27" s="13"/>
      <c r="F27" s="13" t="s">
        <v>48</v>
      </c>
      <c r="G27" s="13"/>
      <c r="H27" s="13"/>
      <c r="I27" s="13" t="s">
        <v>1558</v>
      </c>
      <c r="J27"/>
    </row>
    <row r="28" ht="33" customHeight="1" spans="1:10">
      <c r="A28" s="45">
        <v>26</v>
      </c>
      <c r="B28" s="52" t="s">
        <v>1529</v>
      </c>
      <c r="C28" s="49" t="s">
        <v>1566</v>
      </c>
      <c r="D28" s="3" t="s">
        <v>1557</v>
      </c>
      <c r="E28" s="13"/>
      <c r="F28" s="13"/>
      <c r="G28" s="13"/>
      <c r="H28" s="13"/>
      <c r="I28" s="13" t="s">
        <v>1558</v>
      </c>
      <c r="J28"/>
    </row>
    <row r="29" ht="33" customHeight="1" spans="1:10">
      <c r="A29" s="45">
        <v>27</v>
      </c>
      <c r="B29" s="49" t="s">
        <v>1567</v>
      </c>
      <c r="C29" s="49" t="s">
        <v>1568</v>
      </c>
      <c r="D29" s="3" t="s">
        <v>1557</v>
      </c>
      <c r="E29" s="13"/>
      <c r="F29" s="13"/>
      <c r="G29" s="13"/>
      <c r="H29" s="13"/>
      <c r="I29" s="13" t="s">
        <v>1558</v>
      </c>
      <c r="J29"/>
    </row>
    <row r="30" ht="33" customHeight="1" spans="1:10">
      <c r="A30" s="45">
        <v>28</v>
      </c>
      <c r="B30" s="49" t="s">
        <v>1542</v>
      </c>
      <c r="C30" s="49" t="s">
        <v>1569</v>
      </c>
      <c r="D30" s="3" t="s">
        <v>1557</v>
      </c>
      <c r="E30" s="13"/>
      <c r="F30" s="13"/>
      <c r="G30" s="13"/>
      <c r="H30" s="13"/>
      <c r="I30" s="13" t="s">
        <v>1558</v>
      </c>
      <c r="J30"/>
    </row>
    <row r="31" ht="33" customHeight="1" spans="1:10">
      <c r="A31" s="45">
        <v>29</v>
      </c>
      <c r="B31" s="49" t="s">
        <v>1544</v>
      </c>
      <c r="C31" s="49" t="s">
        <v>1570</v>
      </c>
      <c r="D31" s="3" t="s">
        <v>1557</v>
      </c>
      <c r="E31" s="13"/>
      <c r="F31" s="13"/>
      <c r="G31" s="13"/>
      <c r="H31" s="13"/>
      <c r="I31" s="13" t="s">
        <v>1558</v>
      </c>
      <c r="J31"/>
    </row>
    <row r="32" ht="33" customHeight="1" spans="1:10">
      <c r="A32" s="45">
        <v>30</v>
      </c>
      <c r="B32" s="3" t="s">
        <v>1548</v>
      </c>
      <c r="C32" s="19" t="s">
        <v>1571</v>
      </c>
      <c r="D32" s="3" t="s">
        <v>1572</v>
      </c>
      <c r="E32" s="13"/>
      <c r="F32" s="13"/>
      <c r="G32" s="13"/>
      <c r="H32" s="13"/>
      <c r="I32" s="13" t="s">
        <v>1558</v>
      </c>
      <c r="J32" t="s">
        <v>1573</v>
      </c>
    </row>
    <row r="33" ht="33" customHeight="1" spans="1:10">
      <c r="A33" s="45">
        <v>31</v>
      </c>
      <c r="B33" s="49" t="s">
        <v>1550</v>
      </c>
      <c r="C33" s="49" t="s">
        <v>1574</v>
      </c>
      <c r="D33" s="3" t="s">
        <v>1557</v>
      </c>
      <c r="E33" s="13"/>
      <c r="F33" s="13"/>
      <c r="G33" s="13"/>
      <c r="H33" s="13"/>
      <c r="I33" s="13" t="s">
        <v>1558</v>
      </c>
      <c r="J33"/>
    </row>
    <row r="34" ht="33" customHeight="1" spans="1:10">
      <c r="A34" s="45">
        <v>32</v>
      </c>
      <c r="B34" s="49" t="s">
        <v>1552</v>
      </c>
      <c r="C34" s="49" t="s">
        <v>1575</v>
      </c>
      <c r="D34" s="3" t="s">
        <v>1557</v>
      </c>
      <c r="E34" s="13"/>
      <c r="F34" s="13"/>
      <c r="G34" s="13"/>
      <c r="H34" s="13"/>
      <c r="I34" s="13" t="s">
        <v>1558</v>
      </c>
      <c r="J34"/>
    </row>
    <row r="35" ht="33" customHeight="1" spans="1:10">
      <c r="A35" s="45">
        <v>33</v>
      </c>
      <c r="B35" s="49" t="s">
        <v>1553</v>
      </c>
      <c r="C35" s="13" t="s">
        <v>1576</v>
      </c>
      <c r="D35" s="3" t="s">
        <v>1572</v>
      </c>
      <c r="E35" s="13"/>
      <c r="F35" s="13"/>
      <c r="G35" s="13"/>
      <c r="H35" s="13"/>
      <c r="I35" s="13" t="s">
        <v>1558</v>
      </c>
      <c r="J35" t="s">
        <v>1573</v>
      </c>
    </row>
    <row r="36" ht="48" customHeight="1" spans="1:10">
      <c r="A36" s="45">
        <v>34</v>
      </c>
      <c r="B36" s="49"/>
      <c r="C36" s="13"/>
      <c r="D36" s="13"/>
      <c r="E36" s="13"/>
      <c r="F36" s="13"/>
      <c r="G36" s="13"/>
      <c r="H36" s="13"/>
      <c r="I36" s="13"/>
      <c r="J36"/>
    </row>
    <row r="37" ht="33" customHeight="1" spans="1:10">
      <c r="A37" s="45">
        <v>35</v>
      </c>
      <c r="B37" s="52"/>
      <c r="C37"/>
      <c r="D37"/>
      <c r="E37"/>
      <c r="F37"/>
      <c r="G37"/>
      <c r="H37"/>
      <c r="I37"/>
      <c r="J37"/>
    </row>
    <row r="38" ht="33" customHeight="1" spans="1:10">
      <c r="A38"/>
      <c r="B38" s="52"/>
      <c r="C38"/>
      <c r="D38"/>
      <c r="E38"/>
      <c r="F38"/>
      <c r="G38"/>
      <c r="H38"/>
      <c r="I38"/>
      <c r="J38"/>
    </row>
    <row r="39" ht="33" customHeight="1" spans="1:10">
      <c r="A39"/>
      <c r="B39" s="52"/>
      <c r="C39"/>
      <c r="D39"/>
      <c r="E39"/>
      <c r="F39"/>
      <c r="G39"/>
      <c r="H39"/>
      <c r="I39"/>
      <c r="J39"/>
    </row>
    <row r="40" ht="33" customHeight="1" spans="1:10">
      <c r="A40"/>
      <c r="B40" s="52"/>
      <c r="C40"/>
      <c r="D40"/>
      <c r="E40"/>
      <c r="F40"/>
      <c r="G40"/>
      <c r="H40"/>
      <c r="I40"/>
      <c r="J40"/>
    </row>
    <row r="41" ht="33" customHeight="1" spans="1:10">
      <c r="A41"/>
      <c r="B41" s="52"/>
      <c r="C41"/>
      <c r="D41"/>
      <c r="E41"/>
      <c r="F41"/>
      <c r="G41"/>
      <c r="H41"/>
      <c r="I41"/>
      <c r="J41"/>
    </row>
    <row r="42" ht="33" customHeight="1" spans="1:10">
      <c r="A42"/>
      <c r="B42" s="52"/>
      <c r="C42"/>
      <c r="D42"/>
      <c r="E42"/>
      <c r="F42"/>
      <c r="G42"/>
      <c r="H42"/>
      <c r="I42"/>
      <c r="J42"/>
    </row>
    <row r="43" ht="33" customHeight="1" spans="1:10">
      <c r="A43"/>
      <c r="B43" s="52"/>
      <c r="C43"/>
      <c r="D43"/>
      <c r="E43"/>
      <c r="F43"/>
      <c r="G43"/>
      <c r="H43"/>
      <c r="I43"/>
      <c r="J43"/>
    </row>
    <row r="44" ht="33" customHeight="1" spans="1:10">
      <c r="A44"/>
      <c r="B44" s="52"/>
      <c r="C44"/>
      <c r="D44"/>
      <c r="E44"/>
      <c r="F44"/>
      <c r="G44"/>
      <c r="H44"/>
      <c r="I44"/>
      <c r="J44"/>
    </row>
    <row r="45" ht="33" customHeight="1" spans="1:10">
      <c r="A45"/>
      <c r="B45" s="52"/>
      <c r="C45"/>
      <c r="D45"/>
      <c r="E45"/>
      <c r="F45"/>
      <c r="G45"/>
      <c r="H45"/>
      <c r="I45"/>
      <c r="J45"/>
    </row>
    <row r="46" ht="33" customHeight="1" spans="1:10">
      <c r="A46"/>
      <c r="B46" s="52"/>
      <c r="C46"/>
      <c r="D46"/>
      <c r="E46"/>
      <c r="F46"/>
      <c r="G46"/>
      <c r="H46"/>
      <c r="I46"/>
      <c r="J46"/>
    </row>
    <row r="47" ht="33" customHeight="1" spans="1:10">
      <c r="A47"/>
      <c r="B47" s="52"/>
      <c r="C47"/>
      <c r="D47"/>
      <c r="E47"/>
      <c r="F47"/>
      <c r="G47"/>
      <c r="H47"/>
      <c r="I47"/>
      <c r="J47"/>
    </row>
    <row r="48" ht="33" customHeight="1" spans="1:10">
      <c r="A48"/>
      <c r="B48" s="52"/>
      <c r="C48"/>
      <c r="D48"/>
      <c r="E48"/>
      <c r="F48"/>
      <c r="G48"/>
      <c r="H48"/>
      <c r="I48"/>
      <c r="J48"/>
    </row>
    <row r="49" ht="33" customHeight="1" spans="1:10">
      <c r="A49"/>
      <c r="B49" s="52"/>
      <c r="C49"/>
      <c r="D49"/>
      <c r="E49"/>
      <c r="F49"/>
      <c r="G49"/>
      <c r="H49"/>
      <c r="I49"/>
      <c r="J49"/>
    </row>
    <row r="50" ht="33" customHeight="1" spans="1:10">
      <c r="A50"/>
      <c r="B50" s="52"/>
      <c r="C50"/>
      <c r="D50"/>
      <c r="E50"/>
      <c r="F50"/>
      <c r="G50"/>
      <c r="H50"/>
      <c r="I50"/>
      <c r="J50"/>
    </row>
    <row r="51" ht="33" customHeight="1" spans="1:10">
      <c r="A51"/>
      <c r="B51" s="52"/>
      <c r="C51"/>
      <c r="D51"/>
      <c r="E51"/>
      <c r="F51"/>
      <c r="G51"/>
      <c r="H51"/>
      <c r="I51"/>
      <c r="J51"/>
    </row>
    <row r="52" ht="33" customHeight="1" spans="1:10">
      <c r="A52"/>
      <c r="B52" s="52"/>
      <c r="C52"/>
      <c r="D52"/>
      <c r="E52"/>
      <c r="F52"/>
      <c r="G52"/>
      <c r="H52"/>
      <c r="I52"/>
      <c r="J52"/>
    </row>
    <row r="53" ht="33" customHeight="1" spans="1:10">
      <c r="A53"/>
      <c r="B53" s="52"/>
      <c r="C53"/>
      <c r="D53"/>
      <c r="E53"/>
      <c r="F53"/>
      <c r="G53"/>
      <c r="H53"/>
      <c r="I53"/>
      <c r="J53"/>
    </row>
    <row r="54" ht="33" customHeight="1" spans="1:10">
      <c r="A54"/>
      <c r="B54" s="52"/>
      <c r="C54"/>
      <c r="D54"/>
      <c r="E54"/>
      <c r="F54"/>
      <c r="G54"/>
      <c r="H54"/>
      <c r="I54"/>
      <c r="J54"/>
    </row>
    <row r="55" ht="33" customHeight="1" spans="1:10">
      <c r="A55"/>
      <c r="B55" s="52"/>
      <c r="C55"/>
      <c r="D55"/>
      <c r="E55"/>
      <c r="F55"/>
      <c r="G55"/>
      <c r="H55"/>
      <c r="I55"/>
      <c r="J55"/>
    </row>
    <row r="56" ht="33" customHeight="1" spans="1:10">
      <c r="A56"/>
      <c r="B56" s="52"/>
      <c r="C56"/>
      <c r="D56"/>
      <c r="E56"/>
      <c r="F56"/>
      <c r="G56"/>
      <c r="H56"/>
      <c r="I56"/>
      <c r="J56"/>
    </row>
    <row r="57" ht="33" customHeight="1" spans="1:10">
      <c r="A57"/>
      <c r="B57" s="52"/>
      <c r="C57"/>
      <c r="D57"/>
      <c r="E57"/>
      <c r="F57"/>
      <c r="G57"/>
      <c r="H57"/>
      <c r="I57"/>
      <c r="J57"/>
    </row>
    <row r="58" ht="33" customHeight="1" spans="1:10">
      <c r="A58"/>
      <c r="B58" s="52"/>
      <c r="C58"/>
      <c r="D58"/>
      <c r="E58"/>
      <c r="F58"/>
      <c r="G58"/>
      <c r="H58"/>
      <c r="I58"/>
      <c r="J58"/>
    </row>
    <row r="59" ht="33" customHeight="1" spans="1:10">
      <c r="A59"/>
      <c r="B59" s="52"/>
      <c r="C59"/>
      <c r="D59"/>
      <c r="E59"/>
      <c r="F59"/>
      <c r="G59"/>
      <c r="H59"/>
      <c r="I59"/>
      <c r="J59"/>
    </row>
    <row r="60" ht="33" customHeight="1" spans="1:10">
      <c r="A60"/>
      <c r="B60" s="52"/>
      <c r="C60"/>
      <c r="D60"/>
      <c r="E60"/>
      <c r="F60"/>
      <c r="G60"/>
      <c r="H60"/>
      <c r="I60"/>
      <c r="J60"/>
    </row>
    <row r="61" ht="33" customHeight="1" spans="1:10">
      <c r="A61"/>
      <c r="B61" s="52"/>
      <c r="C61"/>
      <c r="D61"/>
      <c r="E61"/>
      <c r="F61"/>
      <c r="G61"/>
      <c r="H61"/>
      <c r="I61"/>
      <c r="J61"/>
    </row>
    <row r="62" ht="33" customHeight="1" spans="1:10">
      <c r="A62"/>
      <c r="B62" s="52"/>
      <c r="C62"/>
      <c r="D62"/>
      <c r="E62"/>
      <c r="F62"/>
      <c r="G62"/>
      <c r="H62"/>
      <c r="I62"/>
      <c r="J62"/>
    </row>
    <row r="63" ht="33" customHeight="1" spans="1:10">
      <c r="A63"/>
      <c r="B63" s="52"/>
      <c r="C63"/>
      <c r="D63"/>
      <c r="E63"/>
      <c r="F63"/>
      <c r="G63"/>
      <c r="H63"/>
      <c r="I63"/>
      <c r="J63"/>
    </row>
    <row r="64" ht="33" customHeight="1" spans="1:10">
      <c r="A64"/>
      <c r="B64" s="52"/>
      <c r="C64"/>
      <c r="D64"/>
      <c r="E64"/>
      <c r="F64"/>
      <c r="G64"/>
      <c r="H64"/>
      <c r="I64"/>
      <c r="J64"/>
    </row>
    <row r="65" ht="33" customHeight="1" spans="1:10">
      <c r="A65"/>
      <c r="B65" s="52"/>
      <c r="C65"/>
      <c r="D65"/>
      <c r="E65"/>
      <c r="F65"/>
      <c r="G65"/>
      <c r="H65"/>
      <c r="I65"/>
      <c r="J65"/>
    </row>
    <row r="66" ht="33" customHeight="1" spans="1:10">
      <c r="A66"/>
      <c r="B66" s="52"/>
      <c r="C66"/>
      <c r="D66"/>
      <c r="E66"/>
      <c r="F66"/>
      <c r="G66"/>
      <c r="H66"/>
      <c r="I66"/>
      <c r="J66"/>
    </row>
    <row r="67" ht="33" customHeight="1" spans="1:10">
      <c r="A67"/>
      <c r="B67" s="52"/>
      <c r="C67"/>
      <c r="D67"/>
      <c r="E67"/>
      <c r="F67"/>
      <c r="G67"/>
      <c r="H67"/>
      <c r="I67"/>
      <c r="J67"/>
    </row>
    <row r="68" ht="33" customHeight="1" spans="1:10">
      <c r="A68"/>
      <c r="B68" s="52"/>
      <c r="C68"/>
      <c r="D68"/>
      <c r="E68"/>
      <c r="F68"/>
      <c r="G68"/>
      <c r="H68"/>
      <c r="I68"/>
      <c r="J68"/>
    </row>
    <row r="69" ht="33" customHeight="1" spans="1:10">
      <c r="A69"/>
      <c r="B69" s="52"/>
      <c r="C69"/>
      <c r="D69"/>
      <c r="E69"/>
      <c r="F69"/>
      <c r="G69"/>
      <c r="H69"/>
      <c r="I69"/>
      <c r="J69"/>
    </row>
    <row r="70" spans="1:10">
      <c r="A70"/>
      <c r="B70" s="52"/>
      <c r="C70"/>
      <c r="D70"/>
      <c r="E70"/>
      <c r="F70"/>
      <c r="G70"/>
      <c r="H70"/>
      <c r="I70"/>
      <c r="J70"/>
    </row>
    <row r="71" spans="1:10">
      <c r="A71"/>
      <c r="B71" s="52"/>
      <c r="C71"/>
      <c r="D71"/>
      <c r="E71"/>
      <c r="F71"/>
      <c r="G71"/>
      <c r="H71"/>
      <c r="I71"/>
      <c r="J71"/>
    </row>
    <row r="72" spans="1:10">
      <c r="A72"/>
      <c r="B72" s="52"/>
      <c r="C72"/>
      <c r="D72"/>
      <c r="E72"/>
      <c r="F72"/>
      <c r="G72"/>
      <c r="H72"/>
      <c r="I72"/>
      <c r="J72"/>
    </row>
    <row r="73" spans="1:10">
      <c r="A73"/>
      <c r="B73" s="52"/>
      <c r="C73"/>
      <c r="D73"/>
      <c r="E73"/>
      <c r="F73"/>
      <c r="G73"/>
      <c r="H73"/>
      <c r="I73"/>
      <c r="J73"/>
    </row>
    <row r="74" spans="1:10">
      <c r="A74"/>
      <c r="B74" s="52"/>
      <c r="C74"/>
      <c r="D74"/>
      <c r="E74"/>
      <c r="F74"/>
      <c r="G74"/>
      <c r="H74"/>
      <c r="I74"/>
      <c r="J74"/>
    </row>
    <row r="75" spans="1:10">
      <c r="A75"/>
      <c r="B75" s="52"/>
      <c r="C75"/>
      <c r="D75"/>
      <c r="E75"/>
      <c r="F75"/>
      <c r="G75"/>
      <c r="H75"/>
      <c r="I75"/>
      <c r="J75"/>
    </row>
    <row r="76" spans="1:10">
      <c r="A76"/>
      <c r="B76" s="52"/>
      <c r="C76"/>
      <c r="D76"/>
      <c r="E76"/>
      <c r="F76"/>
      <c r="G76"/>
      <c r="H76"/>
      <c r="I76"/>
      <c r="J76"/>
    </row>
    <row r="77" spans="1:10">
      <c r="A77"/>
      <c r="B77" s="52"/>
      <c r="C77"/>
      <c r="D77"/>
      <c r="E77"/>
      <c r="F77"/>
      <c r="G77"/>
      <c r="H77"/>
      <c r="I77"/>
      <c r="J77"/>
    </row>
    <row r="78" spans="1:10">
      <c r="A78"/>
      <c r="B78" s="52"/>
      <c r="C78"/>
      <c r="D78"/>
      <c r="E78"/>
      <c r="F78"/>
      <c r="G78"/>
      <c r="H78"/>
      <c r="I78"/>
      <c r="J78"/>
    </row>
    <row r="79" spans="1:10">
      <c r="A79"/>
      <c r="B79" s="52"/>
      <c r="C79"/>
      <c r="D79"/>
      <c r="E79"/>
      <c r="F79"/>
      <c r="G79"/>
      <c r="H79"/>
      <c r="I79"/>
      <c r="J79"/>
    </row>
    <row r="80" spans="1:10">
      <c r="A80"/>
      <c r="B80" s="52"/>
      <c r="C80"/>
      <c r="D80"/>
      <c r="E80"/>
      <c r="F80"/>
      <c r="G80"/>
      <c r="H80"/>
      <c r="I80"/>
      <c r="J80"/>
    </row>
    <row r="81" spans="1:10">
      <c r="A81"/>
      <c r="B81" s="52"/>
      <c r="C81"/>
      <c r="D81"/>
      <c r="E81"/>
      <c r="F81"/>
      <c r="G81"/>
      <c r="H81"/>
      <c r="I81"/>
      <c r="J81"/>
    </row>
    <row r="82" spans="1:10">
      <c r="A82"/>
      <c r="B82" s="52"/>
      <c r="C82"/>
      <c r="D82"/>
      <c r="E82"/>
      <c r="F82"/>
      <c r="G82"/>
      <c r="H82"/>
      <c r="I82"/>
      <c r="J82"/>
    </row>
    <row r="83" spans="1:10">
      <c r="A83"/>
      <c r="B83" s="52"/>
      <c r="C83"/>
      <c r="D83"/>
      <c r="E83"/>
      <c r="F83"/>
      <c r="G83"/>
      <c r="H83"/>
      <c r="I83"/>
      <c r="J83"/>
    </row>
    <row r="84" spans="1:10">
      <c r="A84"/>
      <c r="B84" s="52"/>
      <c r="C84"/>
      <c r="D84"/>
      <c r="E84"/>
      <c r="F84"/>
      <c r="G84"/>
      <c r="H84"/>
      <c r="I84"/>
      <c r="J84"/>
    </row>
    <row r="85" spans="1:10">
      <c r="A85"/>
      <c r="B85" s="52"/>
      <c r="C85"/>
      <c r="D85"/>
      <c r="E85"/>
      <c r="F85"/>
      <c r="G85"/>
      <c r="H85"/>
      <c r="I85"/>
      <c r="J85"/>
    </row>
    <row r="86" spans="1:10">
      <c r="A86"/>
      <c r="B86" s="52"/>
      <c r="C86"/>
      <c r="D86"/>
      <c r="E86"/>
      <c r="F86"/>
      <c r="G86"/>
      <c r="H86"/>
      <c r="I86"/>
      <c r="J86"/>
    </row>
    <row r="87" spans="1:10">
      <c r="A87"/>
      <c r="B87" s="52"/>
      <c r="C87"/>
      <c r="D87"/>
      <c r="E87"/>
      <c r="F87"/>
      <c r="G87"/>
      <c r="H87"/>
      <c r="I87"/>
      <c r="J87"/>
    </row>
    <row r="88" spans="1:10">
      <c r="A88"/>
      <c r="B88" s="52"/>
      <c r="C88"/>
      <c r="D88"/>
      <c r="E88"/>
      <c r="F88"/>
      <c r="G88"/>
      <c r="H88"/>
      <c r="I88"/>
      <c r="J88"/>
    </row>
    <row r="89" spans="1:10">
      <c r="A89"/>
      <c r="B89" s="52"/>
      <c r="C89"/>
      <c r="D89"/>
      <c r="E89"/>
      <c r="F89"/>
      <c r="G89"/>
      <c r="H89"/>
      <c r="I89"/>
      <c r="J89"/>
    </row>
    <row r="90" spans="1:10">
      <c r="A90"/>
      <c r="B90" s="52"/>
      <c r="C90"/>
      <c r="D90"/>
      <c r="E90"/>
      <c r="F90"/>
      <c r="G90"/>
      <c r="H90"/>
      <c r="I90"/>
      <c r="J90"/>
    </row>
    <row r="91" spans="1:10">
      <c r="A91"/>
      <c r="B91" s="52"/>
      <c r="C91"/>
      <c r="D91"/>
      <c r="E91"/>
      <c r="F91"/>
      <c r="G91"/>
      <c r="H91"/>
      <c r="I91"/>
      <c r="J91"/>
    </row>
    <row r="92" spans="1:10">
      <c r="A92"/>
      <c r="B92" s="52"/>
      <c r="C92"/>
      <c r="D92"/>
      <c r="E92"/>
      <c r="F92"/>
      <c r="G92"/>
      <c r="H92"/>
      <c r="I92"/>
      <c r="J92"/>
    </row>
    <row r="93" spans="1:10">
      <c r="A93"/>
      <c r="B93" s="52"/>
      <c r="C93"/>
      <c r="D93"/>
      <c r="E93"/>
      <c r="F93"/>
      <c r="G93"/>
      <c r="H93"/>
      <c r="I93"/>
      <c r="J93"/>
    </row>
    <row r="94" spans="1:10">
      <c r="A94"/>
      <c r="B94" s="52"/>
      <c r="C94"/>
      <c r="D94"/>
      <c r="E94"/>
      <c r="F94"/>
      <c r="G94"/>
      <c r="H94"/>
      <c r="I94"/>
      <c r="J94"/>
    </row>
    <row r="95" spans="1:10">
      <c r="A95"/>
      <c r="B95" s="52"/>
      <c r="C95"/>
      <c r="D95"/>
      <c r="E95"/>
      <c r="F95"/>
      <c r="G95"/>
      <c r="H95"/>
      <c r="I95"/>
      <c r="J95"/>
    </row>
    <row r="96" spans="1:10">
      <c r="A96"/>
      <c r="B96" s="52"/>
      <c r="C96"/>
      <c r="D96"/>
      <c r="E96"/>
      <c r="F96"/>
      <c r="G96"/>
      <c r="H96"/>
      <c r="I96"/>
      <c r="J96"/>
    </row>
    <row r="97" spans="1:10">
      <c r="A97"/>
      <c r="B97" s="52"/>
      <c r="C97"/>
      <c r="D97"/>
      <c r="E97"/>
      <c r="F97"/>
      <c r="G97"/>
      <c r="H97"/>
      <c r="I97"/>
      <c r="J97"/>
    </row>
    <row r="98" spans="1:10">
      <c r="A98"/>
      <c r="B98" s="52"/>
      <c r="C98"/>
      <c r="D98"/>
      <c r="E98"/>
      <c r="F98"/>
      <c r="G98"/>
      <c r="H98"/>
      <c r="I98"/>
      <c r="J98"/>
    </row>
    <row r="99" spans="1:10">
      <c r="A99"/>
      <c r="B99" s="52"/>
      <c r="C99"/>
      <c r="D99"/>
      <c r="E99"/>
      <c r="F99"/>
      <c r="G99"/>
      <c r="H99"/>
      <c r="I99"/>
      <c r="J99"/>
    </row>
    <row r="100" spans="1:10">
      <c r="A100"/>
      <c r="B100" s="52"/>
      <c r="C100"/>
      <c r="D100"/>
      <c r="E100"/>
      <c r="F100"/>
      <c r="G100"/>
      <c r="H100"/>
      <c r="I100"/>
      <c r="J100"/>
    </row>
    <row r="101" spans="1:10">
      <c r="A101"/>
      <c r="B101" s="52"/>
      <c r="C101"/>
      <c r="D101"/>
      <c r="E101"/>
      <c r="F101"/>
      <c r="G101"/>
      <c r="H101"/>
      <c r="I101"/>
      <c r="J101"/>
    </row>
    <row r="102" spans="1:10">
      <c r="A102"/>
      <c r="B102" s="52"/>
      <c r="C102"/>
      <c r="D102"/>
      <c r="E102"/>
      <c r="F102"/>
      <c r="G102"/>
      <c r="H102"/>
      <c r="I102"/>
      <c r="J102"/>
    </row>
    <row r="103" spans="1:10">
      <c r="A103"/>
      <c r="B103" s="52"/>
      <c r="C103"/>
      <c r="D103"/>
      <c r="E103"/>
      <c r="F103"/>
      <c r="G103"/>
      <c r="H103"/>
      <c r="I103"/>
      <c r="J103"/>
    </row>
    <row r="104" spans="1:10">
      <c r="A104"/>
      <c r="B104" s="52"/>
      <c r="C104"/>
      <c r="D104"/>
      <c r="E104"/>
      <c r="F104"/>
      <c r="G104"/>
      <c r="H104"/>
      <c r="I104"/>
      <c r="J104"/>
    </row>
    <row r="105" spans="1:10">
      <c r="A105"/>
      <c r="B105" s="52"/>
      <c r="C105"/>
      <c r="D105"/>
      <c r="E105"/>
      <c r="F105"/>
      <c r="G105"/>
      <c r="H105"/>
      <c r="I105"/>
      <c r="J105"/>
    </row>
    <row r="106" spans="1:10">
      <c r="A106"/>
      <c r="B106" s="52"/>
      <c r="C106"/>
      <c r="D106"/>
      <c r="E106"/>
      <c r="F106"/>
      <c r="G106"/>
      <c r="H106"/>
      <c r="I106"/>
      <c r="J106"/>
    </row>
    <row r="107" spans="1:10">
      <c r="A107"/>
      <c r="B107" s="52"/>
      <c r="C107"/>
      <c r="D107"/>
      <c r="E107"/>
      <c r="F107"/>
      <c r="G107"/>
      <c r="H107"/>
      <c r="I107"/>
      <c r="J107"/>
    </row>
    <row r="108" spans="1:10">
      <c r="A108"/>
      <c r="B108" s="52"/>
      <c r="C108"/>
      <c r="D108"/>
      <c r="E108"/>
      <c r="F108"/>
      <c r="G108"/>
      <c r="H108"/>
      <c r="I108"/>
      <c r="J108"/>
    </row>
    <row r="109" spans="1:10">
      <c r="A109"/>
      <c r="B109" s="52"/>
      <c r="C109"/>
      <c r="D109"/>
      <c r="E109"/>
      <c r="F109"/>
      <c r="G109"/>
      <c r="H109"/>
      <c r="I109"/>
      <c r="J109"/>
    </row>
    <row r="110" spans="1:10">
      <c r="A110"/>
      <c r="B110" s="52"/>
      <c r="C110"/>
      <c r="D110"/>
      <c r="E110"/>
      <c r="F110"/>
      <c r="G110"/>
      <c r="H110"/>
      <c r="I110"/>
      <c r="J110"/>
    </row>
    <row r="111" spans="1:10">
      <c r="A111"/>
      <c r="B111" s="52"/>
      <c r="C111"/>
      <c r="D111"/>
      <c r="E111"/>
      <c r="F111"/>
      <c r="G111"/>
      <c r="H111"/>
      <c r="I111"/>
      <c r="J111"/>
    </row>
    <row r="112" spans="1:10">
      <c r="A112"/>
      <c r="B112" s="52"/>
      <c r="C112"/>
      <c r="D112"/>
      <c r="E112"/>
      <c r="F112"/>
      <c r="G112"/>
      <c r="H112"/>
      <c r="I112"/>
      <c r="J112"/>
    </row>
    <row r="113" spans="1:10">
      <c r="A113"/>
      <c r="B113" s="52"/>
      <c r="C113"/>
      <c r="D113"/>
      <c r="E113"/>
      <c r="F113"/>
      <c r="G113"/>
      <c r="H113"/>
      <c r="I113"/>
      <c r="J113"/>
    </row>
    <row r="114" spans="1:10">
      <c r="A114"/>
      <c r="B114" s="52"/>
      <c r="C114"/>
      <c r="D114"/>
      <c r="E114"/>
      <c r="F114"/>
      <c r="G114"/>
      <c r="H114"/>
      <c r="I114"/>
      <c r="J114"/>
    </row>
    <row r="115" spans="1:10">
      <c r="A115"/>
      <c r="B115" s="52"/>
      <c r="C115"/>
      <c r="D115"/>
      <c r="E115"/>
      <c r="F115"/>
      <c r="G115"/>
      <c r="H115"/>
      <c r="I115"/>
      <c r="J115"/>
    </row>
    <row r="116" spans="1:10">
      <c r="A116"/>
      <c r="B116" s="52"/>
      <c r="C116"/>
      <c r="D116"/>
      <c r="E116"/>
      <c r="F116"/>
      <c r="G116"/>
      <c r="H116"/>
      <c r="I116"/>
      <c r="J116"/>
    </row>
    <row r="117" spans="1:10">
      <c r="A117"/>
      <c r="B117" s="52"/>
      <c r="C117"/>
      <c r="D117"/>
      <c r="E117"/>
      <c r="F117"/>
      <c r="G117"/>
      <c r="H117"/>
      <c r="I117"/>
      <c r="J117"/>
    </row>
  </sheetData>
  <mergeCells count="1">
    <mergeCell ref="A1:J1"/>
  </mergeCells>
  <pageMargins left="0.275" right="0.235416666666667" top="0.354166666666667" bottom="0.275" header="0.275" footer="0.15625"/>
  <pageSetup paperSize="9" orientation="landscape"/>
  <headerFooter>
    <oddFooter>&amp;C第 &amp;P 页，共 &amp;N 页</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B7" sqref="B7:H7"/>
    </sheetView>
  </sheetViews>
  <sheetFormatPr defaultColWidth="9" defaultRowHeight="14.25"/>
  <cols>
    <col min="2" max="2" width="29.375" customWidth="1"/>
    <col min="3" max="3" width="12.125" customWidth="1"/>
    <col min="5" max="5" width="16.75" customWidth="1"/>
    <col min="7" max="7" width="18.25" customWidth="1"/>
    <col min="8" max="8" width="26.375" customWidth="1"/>
    <col min="9" max="9" width="10.375"/>
  </cols>
  <sheetData>
    <row r="1" ht="20.25" spans="1:8">
      <c r="A1" s="1" t="s">
        <v>1577</v>
      </c>
      <c r="B1" s="1"/>
      <c r="C1" s="1"/>
      <c r="D1" s="1"/>
      <c r="E1" s="1"/>
      <c r="F1" s="1"/>
      <c r="G1" s="1"/>
      <c r="H1" s="1"/>
    </row>
    <row r="2" spans="1:9">
      <c r="A2" s="2" t="s">
        <v>1</v>
      </c>
      <c r="B2" s="2" t="s">
        <v>2</v>
      </c>
      <c r="C2" s="2" t="s">
        <v>1578</v>
      </c>
      <c r="D2" s="2" t="s">
        <v>4</v>
      </c>
      <c r="E2" s="2" t="s">
        <v>1579</v>
      </c>
      <c r="F2" s="2" t="s">
        <v>1580</v>
      </c>
      <c r="G2" s="2" t="s">
        <v>1581</v>
      </c>
      <c r="H2" s="2" t="s">
        <v>1582</v>
      </c>
      <c r="I2" s="13" t="s">
        <v>1583</v>
      </c>
    </row>
    <row r="3" spans="1:9">
      <c r="A3" s="2">
        <v>1</v>
      </c>
      <c r="B3" s="2" t="s">
        <v>1584</v>
      </c>
      <c r="C3" s="2" t="s">
        <v>1585</v>
      </c>
      <c r="D3" s="2">
        <v>2</v>
      </c>
      <c r="E3" s="4" t="s">
        <v>1586</v>
      </c>
      <c r="F3" s="2" t="s">
        <v>1587</v>
      </c>
      <c r="G3" s="2"/>
      <c r="H3" s="2"/>
      <c r="I3" s="14">
        <v>42845</v>
      </c>
    </row>
    <row r="4" ht="28.5" spans="1:9">
      <c r="A4" s="2">
        <v>2</v>
      </c>
      <c r="B4" s="2" t="s">
        <v>1550</v>
      </c>
      <c r="C4" s="3" t="s">
        <v>1588</v>
      </c>
      <c r="D4" s="2" t="s">
        <v>1589</v>
      </c>
      <c r="E4" s="4"/>
      <c r="F4" s="2" t="s">
        <v>1590</v>
      </c>
      <c r="G4" s="2" t="s">
        <v>1060</v>
      </c>
      <c r="H4" s="2" t="s">
        <v>645</v>
      </c>
      <c r="I4" s="13"/>
    </row>
    <row r="5" spans="1:9">
      <c r="A5" s="2">
        <v>3</v>
      </c>
      <c r="B5" s="2" t="s">
        <v>1591</v>
      </c>
      <c r="C5" s="2" t="s">
        <v>1592</v>
      </c>
      <c r="D5" s="2" t="s">
        <v>1589</v>
      </c>
      <c r="E5" s="4"/>
      <c r="F5" s="2" t="s">
        <v>1593</v>
      </c>
      <c r="G5" s="2" t="s">
        <v>1594</v>
      </c>
      <c r="H5" s="2" t="s">
        <v>645</v>
      </c>
      <c r="I5" s="13"/>
    </row>
    <row r="6" ht="28.5" spans="1:9">
      <c r="A6" s="2">
        <v>4</v>
      </c>
      <c r="B6" s="2" t="s">
        <v>1595</v>
      </c>
      <c r="C6" s="3" t="s">
        <v>1596</v>
      </c>
      <c r="D6" s="2" t="s">
        <v>1572</v>
      </c>
      <c r="E6" s="2"/>
      <c r="F6" s="3" t="s">
        <v>1597</v>
      </c>
      <c r="G6" s="2" t="s">
        <v>778</v>
      </c>
      <c r="H6" s="2" t="s">
        <v>1558</v>
      </c>
      <c r="I6" s="13"/>
    </row>
    <row r="7" ht="28.5" spans="1:9">
      <c r="A7" s="2">
        <v>5</v>
      </c>
      <c r="B7" s="2" t="s">
        <v>1595</v>
      </c>
      <c r="C7" s="3" t="s">
        <v>1598</v>
      </c>
      <c r="D7" s="2" t="s">
        <v>1572</v>
      </c>
      <c r="E7" s="5"/>
      <c r="F7" s="3" t="s">
        <v>1597</v>
      </c>
      <c r="G7" s="2" t="s">
        <v>1599</v>
      </c>
      <c r="H7" s="2" t="s">
        <v>1194</v>
      </c>
      <c r="I7" s="13"/>
    </row>
    <row r="8" spans="1:9">
      <c r="A8" s="6">
        <v>6</v>
      </c>
      <c r="B8" s="6"/>
      <c r="C8" s="6"/>
      <c r="D8" s="6"/>
      <c r="E8" s="6"/>
      <c r="F8" s="6"/>
      <c r="G8" s="6"/>
      <c r="H8" s="6"/>
      <c r="I8" s="13"/>
    </row>
    <row r="9" spans="1:9">
      <c r="A9" s="2">
        <v>7</v>
      </c>
      <c r="B9" s="3"/>
      <c r="C9" s="2"/>
      <c r="D9" s="2"/>
      <c r="E9" s="2"/>
      <c r="F9" s="2"/>
      <c r="G9" s="2"/>
      <c r="H9" s="2"/>
      <c r="I9" s="13"/>
    </row>
    <row r="10" spans="1:9">
      <c r="A10" s="2">
        <v>8</v>
      </c>
      <c r="B10" s="3"/>
      <c r="C10" s="2"/>
      <c r="D10" s="2"/>
      <c r="E10" s="2"/>
      <c r="F10" s="2"/>
      <c r="G10" s="2"/>
      <c r="H10" s="2"/>
      <c r="I10" s="13"/>
    </row>
    <row r="11" spans="1:9">
      <c r="A11" s="2">
        <v>9</v>
      </c>
      <c r="B11" s="2"/>
      <c r="C11" s="2"/>
      <c r="D11" s="2"/>
      <c r="E11" s="2"/>
      <c r="F11" s="2"/>
      <c r="G11" s="2"/>
      <c r="H11" s="2"/>
      <c r="I11" s="13"/>
    </row>
    <row r="12" spans="1:9">
      <c r="A12" s="2">
        <v>10</v>
      </c>
      <c r="B12" s="2"/>
      <c r="C12" s="2"/>
      <c r="D12" s="2"/>
      <c r="E12" s="2"/>
      <c r="F12" s="2"/>
      <c r="G12" s="2"/>
      <c r="H12" s="2"/>
      <c r="I12" s="13"/>
    </row>
    <row r="13" spans="1:9">
      <c r="A13" s="2"/>
      <c r="B13" s="2"/>
      <c r="C13" s="2"/>
      <c r="D13" s="2"/>
      <c r="E13" s="2"/>
      <c r="F13" s="2"/>
      <c r="G13" s="2"/>
      <c r="H13" s="2"/>
      <c r="I13" s="13"/>
    </row>
    <row r="14" spans="1:9">
      <c r="A14" s="2"/>
      <c r="B14" s="2"/>
      <c r="C14" s="2"/>
      <c r="D14" s="2"/>
      <c r="E14" s="2"/>
      <c r="F14" s="2"/>
      <c r="G14" s="2"/>
      <c r="H14" s="2"/>
      <c r="I14" s="13"/>
    </row>
    <row r="15" spans="1:9">
      <c r="A15" s="2"/>
      <c r="B15" s="2"/>
      <c r="C15" s="2"/>
      <c r="D15" s="2"/>
      <c r="E15" s="2"/>
      <c r="F15" s="2"/>
      <c r="G15" s="2"/>
      <c r="H15" s="2"/>
      <c r="I15" s="13"/>
    </row>
    <row r="16" spans="1:9">
      <c r="A16" s="2"/>
      <c r="B16" s="2"/>
      <c r="C16" s="2"/>
      <c r="D16" s="2"/>
      <c r="E16" s="2"/>
      <c r="F16" s="2"/>
      <c r="G16" s="2"/>
      <c r="H16" s="2"/>
      <c r="I16" s="13"/>
    </row>
    <row r="17" spans="1:9">
      <c r="A17" s="2"/>
      <c r="B17" s="2"/>
      <c r="C17" s="2"/>
      <c r="D17" s="2"/>
      <c r="E17" s="2"/>
      <c r="F17" s="2"/>
      <c r="G17" s="2"/>
      <c r="H17" s="2"/>
      <c r="I17" s="13"/>
    </row>
    <row r="18" spans="1:9">
      <c r="A18" s="2"/>
      <c r="B18" s="2"/>
      <c r="C18" s="2"/>
      <c r="D18" s="2"/>
      <c r="E18" s="2"/>
      <c r="F18" s="2"/>
      <c r="G18" s="2"/>
      <c r="H18" s="2"/>
      <c r="I18" s="13"/>
    </row>
    <row r="19" spans="1:9">
      <c r="A19" s="2"/>
      <c r="B19" s="2"/>
      <c r="C19" s="2"/>
      <c r="D19" s="2"/>
      <c r="E19" s="2"/>
      <c r="F19" s="2"/>
      <c r="G19" s="2"/>
      <c r="H19" s="2"/>
      <c r="I19" s="13"/>
    </row>
    <row r="20" spans="1:9">
      <c r="A20" s="2"/>
      <c r="B20" s="2"/>
      <c r="C20" s="2"/>
      <c r="D20" s="2"/>
      <c r="E20" s="2"/>
      <c r="F20" s="2"/>
      <c r="G20" s="2"/>
      <c r="H20" s="2"/>
      <c r="I20" s="13"/>
    </row>
  </sheetData>
  <mergeCells count="1">
    <mergeCell ref="A1:H1"/>
  </mergeCells>
  <pageMargins left="0.75" right="0.75" top="1" bottom="1" header="0.511805555555556" footer="0.511805555555556"/>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D12" sqref="D12"/>
    </sheetView>
  </sheetViews>
  <sheetFormatPr defaultColWidth="9" defaultRowHeight="14.25"/>
  <cols>
    <col min="2" max="2" width="20" customWidth="1"/>
    <col min="3" max="3" width="13.75" customWidth="1"/>
    <col min="7" max="7" width="11.375" customWidth="1"/>
    <col min="8" max="8" width="14.875" customWidth="1"/>
    <col min="9" max="9" width="18.375" customWidth="1"/>
  </cols>
  <sheetData>
    <row r="1" ht="20.25" spans="1:8">
      <c r="A1" s="1" t="s">
        <v>1600</v>
      </c>
      <c r="B1" s="1"/>
      <c r="C1" s="1"/>
      <c r="D1" s="1"/>
      <c r="E1" s="1"/>
      <c r="F1" s="1"/>
      <c r="G1" s="1"/>
      <c r="H1" s="1"/>
    </row>
    <row r="2" spans="1:9">
      <c r="A2" s="2" t="s">
        <v>1</v>
      </c>
      <c r="B2" s="2" t="s">
        <v>2</v>
      </c>
      <c r="C2" s="2" t="s">
        <v>1578</v>
      </c>
      <c r="D2" s="2" t="s">
        <v>4</v>
      </c>
      <c r="E2" s="2" t="s">
        <v>1579</v>
      </c>
      <c r="F2" s="2" t="s">
        <v>1580</v>
      </c>
      <c r="G2" s="2" t="s">
        <v>1581</v>
      </c>
      <c r="H2" s="2" t="s">
        <v>1582</v>
      </c>
      <c r="I2" s="13" t="s">
        <v>1583</v>
      </c>
    </row>
    <row r="3" ht="28.5" spans="1:9">
      <c r="A3" s="2">
        <v>1</v>
      </c>
      <c r="B3" s="2" t="s">
        <v>1550</v>
      </c>
      <c r="C3" s="3" t="s">
        <v>1601</v>
      </c>
      <c r="D3" s="2" t="s">
        <v>1589</v>
      </c>
      <c r="E3" s="4"/>
      <c r="F3" s="2" t="s">
        <v>1590</v>
      </c>
      <c r="G3" s="2" t="s">
        <v>1060</v>
      </c>
      <c r="H3" s="2" t="s">
        <v>645</v>
      </c>
      <c r="I3" s="14"/>
    </row>
    <row r="4" spans="1:9">
      <c r="A4" s="2">
        <v>2</v>
      </c>
      <c r="B4" s="2" t="s">
        <v>1591</v>
      </c>
      <c r="C4" s="2" t="s">
        <v>1602</v>
      </c>
      <c r="D4" s="2" t="s">
        <v>1589</v>
      </c>
      <c r="E4" s="4"/>
      <c r="F4" s="2" t="s">
        <v>1593</v>
      </c>
      <c r="G4" s="2" t="s">
        <v>1594</v>
      </c>
      <c r="H4" s="2" t="s">
        <v>645</v>
      </c>
      <c r="I4" s="13"/>
    </row>
    <row r="5" ht="28.5" spans="1:9">
      <c r="A5" s="2">
        <v>3</v>
      </c>
      <c r="B5" s="2" t="s">
        <v>1595</v>
      </c>
      <c r="C5" s="3" t="s">
        <v>1596</v>
      </c>
      <c r="D5" s="2" t="s">
        <v>1572</v>
      </c>
      <c r="E5" s="2"/>
      <c r="F5" s="3" t="s">
        <v>1597</v>
      </c>
      <c r="G5" s="2" t="s">
        <v>778</v>
      </c>
      <c r="H5" s="2" t="s">
        <v>1558</v>
      </c>
      <c r="I5" s="13"/>
    </row>
    <row r="6" ht="28.5" spans="1:9">
      <c r="A6" s="2">
        <v>4</v>
      </c>
      <c r="B6" s="2" t="s">
        <v>1595</v>
      </c>
      <c r="C6" s="3" t="s">
        <v>1598</v>
      </c>
      <c r="D6" s="2" t="s">
        <v>1572</v>
      </c>
      <c r="E6" s="5"/>
      <c r="F6" s="3" t="s">
        <v>1597</v>
      </c>
      <c r="G6" s="2" t="s">
        <v>1599</v>
      </c>
      <c r="H6" s="2" t="s">
        <v>1194</v>
      </c>
      <c r="I6" s="13"/>
    </row>
    <row r="7" spans="1:9">
      <c r="A7" s="2">
        <v>5</v>
      </c>
      <c r="B7" s="5"/>
      <c r="C7" s="5"/>
      <c r="D7" s="5"/>
      <c r="E7" s="5"/>
      <c r="F7" s="5"/>
      <c r="G7" s="5"/>
      <c r="H7" s="5"/>
      <c r="I7" s="13"/>
    </row>
    <row r="8" spans="1:9">
      <c r="A8" s="6">
        <v>6</v>
      </c>
      <c r="B8" s="6"/>
      <c r="C8" s="6"/>
      <c r="D8" s="6"/>
      <c r="E8" s="6"/>
      <c r="F8" s="6"/>
      <c r="G8" s="6"/>
      <c r="H8" s="6"/>
      <c r="I8" s="13"/>
    </row>
    <row r="9" spans="1:9">
      <c r="A9" s="2">
        <v>7</v>
      </c>
      <c r="B9" s="3"/>
      <c r="C9" s="2"/>
      <c r="D9" s="2"/>
      <c r="E9" s="2"/>
      <c r="F9" s="2"/>
      <c r="G9" s="2"/>
      <c r="H9" s="2"/>
      <c r="I9" s="13"/>
    </row>
    <row r="10" spans="1:9">
      <c r="A10" s="2">
        <v>8</v>
      </c>
      <c r="B10" s="3"/>
      <c r="C10" s="2"/>
      <c r="D10" s="2"/>
      <c r="E10" s="2"/>
      <c r="F10" s="2"/>
      <c r="G10" s="2"/>
      <c r="H10" s="2"/>
      <c r="I10" s="13"/>
    </row>
    <row r="11" spans="1:9">
      <c r="A11" s="2">
        <v>9</v>
      </c>
      <c r="B11" s="2"/>
      <c r="C11" s="2"/>
      <c r="D11" s="2"/>
      <c r="E11" s="2"/>
      <c r="F11" s="2"/>
      <c r="G11" s="2"/>
      <c r="H11" s="2"/>
      <c r="I11" s="13"/>
    </row>
    <row r="12" spans="1:9">
      <c r="A12" s="2">
        <v>10</v>
      </c>
      <c r="B12" s="2"/>
      <c r="C12" s="2"/>
      <c r="D12" s="2"/>
      <c r="E12" s="2"/>
      <c r="F12" s="2"/>
      <c r="G12" s="2"/>
      <c r="H12" s="2"/>
      <c r="I12" s="13"/>
    </row>
    <row r="13" spans="1:9">
      <c r="A13" s="2"/>
      <c r="B13" s="2"/>
      <c r="C13" s="2"/>
      <c r="D13" s="2"/>
      <c r="E13" s="2"/>
      <c r="F13" s="2"/>
      <c r="G13" s="2"/>
      <c r="H13" s="2"/>
      <c r="I13" s="13"/>
    </row>
    <row r="14" spans="1:9">
      <c r="A14" s="2"/>
      <c r="B14" s="2"/>
      <c r="C14" s="2"/>
      <c r="D14" s="2"/>
      <c r="E14" s="2"/>
      <c r="F14" s="2"/>
      <c r="G14" s="2"/>
      <c r="H14" s="2"/>
      <c r="I14" s="13"/>
    </row>
    <row r="15" spans="1:9">
      <c r="A15" s="2"/>
      <c r="B15" s="2"/>
      <c r="C15" s="2"/>
      <c r="D15" s="2"/>
      <c r="E15" s="2"/>
      <c r="F15" s="2"/>
      <c r="G15" s="2"/>
      <c r="H15" s="2"/>
      <c r="I15" s="13"/>
    </row>
    <row r="16" spans="1:9">
      <c r="A16" s="2"/>
      <c r="B16" s="2"/>
      <c r="C16" s="2"/>
      <c r="D16" s="2"/>
      <c r="E16" s="2"/>
      <c r="F16" s="2"/>
      <c r="G16" s="2"/>
      <c r="H16" s="2"/>
      <c r="I16" s="13"/>
    </row>
    <row r="17" spans="1:9">
      <c r="A17" s="2"/>
      <c r="B17" s="2"/>
      <c r="C17" s="2"/>
      <c r="D17" s="2"/>
      <c r="E17" s="2"/>
      <c r="F17" s="2"/>
      <c r="G17" s="2"/>
      <c r="H17" s="2"/>
      <c r="I17" s="13"/>
    </row>
    <row r="18" spans="1:9">
      <c r="A18" s="2"/>
      <c r="B18" s="2"/>
      <c r="C18" s="2"/>
      <c r="D18" s="2"/>
      <c r="E18" s="2"/>
      <c r="F18" s="2"/>
      <c r="G18" s="2"/>
      <c r="H18" s="2"/>
      <c r="I18" s="13"/>
    </row>
    <row r="19" spans="1:9">
      <c r="A19" s="2"/>
      <c r="B19" s="2"/>
      <c r="C19" s="2"/>
      <c r="D19" s="2"/>
      <c r="E19" s="2"/>
      <c r="F19" s="2"/>
      <c r="G19" s="2"/>
      <c r="H19" s="2"/>
      <c r="I19" s="13"/>
    </row>
    <row r="20" spans="1:9">
      <c r="A20" s="2"/>
      <c r="B20" s="2"/>
      <c r="C20" s="2"/>
      <c r="D20" s="2"/>
      <c r="E20" s="2"/>
      <c r="F20" s="2"/>
      <c r="G20" s="2"/>
      <c r="H20" s="2"/>
      <c r="I20" s="13"/>
    </row>
  </sheetData>
  <mergeCells count="1">
    <mergeCell ref="A1:H1"/>
  </mergeCells>
  <pageMargins left="0.75" right="0.75" top="1" bottom="1" header="0.511805555555556" footer="0.511805555555556"/>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G16" sqref="G16"/>
    </sheetView>
  </sheetViews>
  <sheetFormatPr defaultColWidth="9" defaultRowHeight="14.25"/>
  <cols>
    <col min="2" max="2" width="29.375" customWidth="1"/>
    <col min="3" max="3" width="12.125" customWidth="1"/>
    <col min="5" max="5" width="16.75" customWidth="1"/>
    <col min="7" max="7" width="18.25" customWidth="1"/>
    <col min="8" max="8" width="26.375" customWidth="1"/>
    <col min="9" max="9" width="10.375"/>
  </cols>
  <sheetData>
    <row r="1" ht="20.25" spans="1:8">
      <c r="A1" s="1" t="s">
        <v>1603</v>
      </c>
      <c r="B1" s="1"/>
      <c r="C1" s="1"/>
      <c r="D1" s="1"/>
      <c r="E1" s="1"/>
      <c r="F1" s="1"/>
      <c r="G1" s="1"/>
      <c r="H1" s="1"/>
    </row>
    <row r="2" spans="1:9">
      <c r="A2" s="2" t="s">
        <v>1</v>
      </c>
      <c r="B2" s="2" t="s">
        <v>2</v>
      </c>
      <c r="C2" s="2" t="s">
        <v>1578</v>
      </c>
      <c r="D2" s="2" t="s">
        <v>4</v>
      </c>
      <c r="E2" s="2" t="s">
        <v>1579</v>
      </c>
      <c r="F2" s="2" t="s">
        <v>1580</v>
      </c>
      <c r="G2" s="2" t="s">
        <v>1581</v>
      </c>
      <c r="H2" s="2" t="s">
        <v>1582</v>
      </c>
      <c r="I2" s="13" t="s">
        <v>1583</v>
      </c>
    </row>
    <row r="3" spans="1:9">
      <c r="A3" s="2">
        <v>1</v>
      </c>
      <c r="B3" s="2"/>
      <c r="C3" s="2"/>
      <c r="D3" s="2"/>
      <c r="E3" s="4"/>
      <c r="F3" s="2"/>
      <c r="G3" s="2"/>
      <c r="H3" s="2"/>
      <c r="I3" s="14"/>
    </row>
    <row r="4" spans="1:9">
      <c r="A4" s="2">
        <v>2</v>
      </c>
      <c r="B4" s="2"/>
      <c r="C4" s="2"/>
      <c r="D4" s="2"/>
      <c r="E4" s="4"/>
      <c r="F4" s="2"/>
      <c r="G4" s="2"/>
      <c r="H4" s="2"/>
      <c r="I4" s="13"/>
    </row>
    <row r="5" spans="1:9">
      <c r="A5" s="2">
        <v>3</v>
      </c>
      <c r="B5" s="2"/>
      <c r="C5" s="2"/>
      <c r="D5" s="2"/>
      <c r="E5" s="4"/>
      <c r="F5" s="2"/>
      <c r="G5" s="2"/>
      <c r="H5" s="2"/>
      <c r="I5" s="13"/>
    </row>
    <row r="6" spans="1:9">
      <c r="A6" s="2">
        <v>4</v>
      </c>
      <c r="B6" s="2"/>
      <c r="C6" s="2"/>
      <c r="D6" s="2"/>
      <c r="E6" s="4"/>
      <c r="F6" s="2"/>
      <c r="G6" s="2"/>
      <c r="H6" s="2"/>
      <c r="I6" s="13"/>
    </row>
    <row r="7" spans="1:9">
      <c r="A7" s="2">
        <v>5</v>
      </c>
      <c r="B7" s="5"/>
      <c r="C7" s="5"/>
      <c r="D7" s="5"/>
      <c r="E7" s="5"/>
      <c r="F7" s="5"/>
      <c r="G7" s="5"/>
      <c r="H7" s="5"/>
      <c r="I7" s="13"/>
    </row>
    <row r="8" spans="1:9">
      <c r="A8" s="6">
        <v>6</v>
      </c>
      <c r="B8" s="6"/>
      <c r="C8" s="6"/>
      <c r="D8" s="6"/>
      <c r="E8" s="6"/>
      <c r="F8" s="6"/>
      <c r="G8" s="6"/>
      <c r="H8" s="6"/>
      <c r="I8" s="13"/>
    </row>
    <row r="9" spans="1:9">
      <c r="A9" s="2">
        <v>7</v>
      </c>
      <c r="B9" s="3"/>
      <c r="C9" s="2"/>
      <c r="D9" s="2"/>
      <c r="E9" s="2"/>
      <c r="F9" s="2"/>
      <c r="G9" s="2"/>
      <c r="H9" s="2"/>
      <c r="I9" s="13"/>
    </row>
    <row r="10" spans="1:9">
      <c r="A10" s="2">
        <v>8</v>
      </c>
      <c r="B10" s="3"/>
      <c r="C10" s="2"/>
      <c r="D10" s="2"/>
      <c r="E10" s="2"/>
      <c r="F10" s="2"/>
      <c r="G10" s="2"/>
      <c r="H10" s="2"/>
      <c r="I10" s="13"/>
    </row>
    <row r="11" spans="1:9">
      <c r="A11" s="2">
        <v>9</v>
      </c>
      <c r="B11" s="2"/>
      <c r="C11" s="2"/>
      <c r="D11" s="2"/>
      <c r="E11" s="2"/>
      <c r="F11" s="2"/>
      <c r="G11" s="2"/>
      <c r="H11" s="2"/>
      <c r="I11" s="13"/>
    </row>
    <row r="12" spans="1:9">
      <c r="A12" s="2">
        <v>10</v>
      </c>
      <c r="B12" s="2"/>
      <c r="C12" s="2"/>
      <c r="D12" s="2"/>
      <c r="E12" s="2"/>
      <c r="F12" s="2"/>
      <c r="G12" s="2"/>
      <c r="H12" s="2"/>
      <c r="I12" s="13"/>
    </row>
    <row r="13" spans="1:9">
      <c r="A13" s="2"/>
      <c r="B13" s="2"/>
      <c r="C13" s="2"/>
      <c r="D13" s="2"/>
      <c r="E13" s="2"/>
      <c r="F13" s="2"/>
      <c r="G13" s="2"/>
      <c r="H13" s="2"/>
      <c r="I13" s="13"/>
    </row>
    <row r="14" spans="1:9">
      <c r="A14" s="2"/>
      <c r="B14" s="2"/>
      <c r="C14" s="2"/>
      <c r="D14" s="2"/>
      <c r="E14" s="2"/>
      <c r="F14" s="2"/>
      <c r="G14" s="2"/>
      <c r="H14" s="2"/>
      <c r="I14" s="13"/>
    </row>
    <row r="15" spans="1:9">
      <c r="A15" s="2"/>
      <c r="B15" s="2"/>
      <c r="C15" s="2"/>
      <c r="D15" s="2"/>
      <c r="E15" s="2"/>
      <c r="F15" s="2"/>
      <c r="G15" s="2"/>
      <c r="H15" s="2"/>
      <c r="I15" s="13"/>
    </row>
    <row r="16" spans="1:9">
      <c r="A16" s="2"/>
      <c r="B16" s="2"/>
      <c r="C16" s="2"/>
      <c r="D16" s="2"/>
      <c r="E16" s="2"/>
      <c r="F16" s="2"/>
      <c r="G16" s="2"/>
      <c r="H16" s="2"/>
      <c r="I16" s="13"/>
    </row>
    <row r="17" spans="1:9">
      <c r="A17" s="2"/>
      <c r="B17" s="2"/>
      <c r="C17" s="2"/>
      <c r="D17" s="2"/>
      <c r="E17" s="2"/>
      <c r="F17" s="2"/>
      <c r="G17" s="2"/>
      <c r="H17" s="2"/>
      <c r="I17" s="13"/>
    </row>
    <row r="18" spans="1:9">
      <c r="A18" s="2"/>
      <c r="B18" s="2"/>
      <c r="C18" s="2"/>
      <c r="D18" s="2"/>
      <c r="E18" s="2"/>
      <c r="F18" s="2"/>
      <c r="G18" s="2"/>
      <c r="H18" s="2"/>
      <c r="I18" s="13"/>
    </row>
    <row r="19" spans="1:9">
      <c r="A19" s="2"/>
      <c r="B19" s="2"/>
      <c r="C19" s="2"/>
      <c r="D19" s="2"/>
      <c r="E19" s="2"/>
      <c r="F19" s="2"/>
      <c r="G19" s="2"/>
      <c r="H19" s="2"/>
      <c r="I19" s="13"/>
    </row>
    <row r="20" spans="1:9">
      <c r="A20" s="2"/>
      <c r="B20" s="2"/>
      <c r="C20" s="2"/>
      <c r="D20" s="2"/>
      <c r="E20" s="2"/>
      <c r="F20" s="2"/>
      <c r="G20" s="2"/>
      <c r="H20" s="2"/>
      <c r="I20" s="13"/>
    </row>
  </sheetData>
  <mergeCells count="1">
    <mergeCell ref="A1:H1"/>
  </mergeCells>
  <pageMargins left="0.75" right="0.75" top="1" bottom="1" header="0.511805555555556" footer="0.511805555555556"/>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B4" sqref="B4:H4"/>
    </sheetView>
  </sheetViews>
  <sheetFormatPr defaultColWidth="9" defaultRowHeight="14.25"/>
  <cols>
    <col min="2" max="2" width="29.375" customWidth="1"/>
    <col min="3" max="3" width="12.125" customWidth="1"/>
    <col min="5" max="5" width="16.75" customWidth="1"/>
    <col min="7" max="7" width="18.25" customWidth="1"/>
    <col min="8" max="8" width="26.375" customWidth="1"/>
    <col min="9" max="9" width="10.375"/>
  </cols>
  <sheetData>
    <row r="1" ht="20.25" spans="1:8">
      <c r="A1" s="1" t="s">
        <v>1604</v>
      </c>
      <c r="B1" s="1"/>
      <c r="C1" s="1"/>
      <c r="D1" s="1"/>
      <c r="E1" s="1"/>
      <c r="F1" s="1"/>
      <c r="G1" s="1"/>
      <c r="H1" s="1"/>
    </row>
    <row r="2" spans="1:9">
      <c r="A2" s="2" t="s">
        <v>1</v>
      </c>
      <c r="B2" s="2" t="s">
        <v>2</v>
      </c>
      <c r="C2" s="2" t="s">
        <v>1578</v>
      </c>
      <c r="D2" s="2" t="s">
        <v>4</v>
      </c>
      <c r="E2" s="2" t="s">
        <v>1579</v>
      </c>
      <c r="F2" s="2" t="s">
        <v>1580</v>
      </c>
      <c r="G2" s="2" t="s">
        <v>1581</v>
      </c>
      <c r="H2" s="2" t="s">
        <v>1582</v>
      </c>
      <c r="I2" s="13" t="s">
        <v>1583</v>
      </c>
    </row>
    <row r="3" ht="28.5" spans="1:9">
      <c r="A3" s="2">
        <v>1</v>
      </c>
      <c r="B3" s="2" t="s">
        <v>1550</v>
      </c>
      <c r="C3" s="3" t="s">
        <v>1605</v>
      </c>
      <c r="D3" s="2" t="s">
        <v>1589</v>
      </c>
      <c r="E3" s="4"/>
      <c r="F3" s="2" t="s">
        <v>1590</v>
      </c>
      <c r="G3" s="2" t="s">
        <v>1060</v>
      </c>
      <c r="H3" s="2" t="s">
        <v>645</v>
      </c>
      <c r="I3" s="14"/>
    </row>
    <row r="4" spans="1:9">
      <c r="A4" s="2">
        <v>2</v>
      </c>
      <c r="B4" s="2" t="s">
        <v>1591</v>
      </c>
      <c r="C4" s="2" t="s">
        <v>1606</v>
      </c>
      <c r="D4" s="2" t="s">
        <v>1589</v>
      </c>
      <c r="E4" s="4"/>
      <c r="F4" s="2" t="s">
        <v>1593</v>
      </c>
      <c r="G4" s="2" t="s">
        <v>1594</v>
      </c>
      <c r="H4" s="2" t="s">
        <v>645</v>
      </c>
      <c r="I4" s="13"/>
    </row>
    <row r="5" spans="1:9">
      <c r="A5" s="2">
        <v>3</v>
      </c>
      <c r="B5" s="2"/>
      <c r="C5" s="2"/>
      <c r="D5" s="2"/>
      <c r="E5" s="4"/>
      <c r="F5" s="2"/>
      <c r="G5" s="2"/>
      <c r="H5" s="2"/>
      <c r="I5" s="13"/>
    </row>
    <row r="6" spans="1:9">
      <c r="A6" s="2">
        <v>4</v>
      </c>
      <c r="B6" s="2"/>
      <c r="C6" s="2"/>
      <c r="D6" s="2"/>
      <c r="E6" s="4"/>
      <c r="F6" s="2"/>
      <c r="G6" s="2"/>
      <c r="H6" s="2"/>
      <c r="I6" s="13"/>
    </row>
    <row r="7" spans="1:9">
      <c r="A7" s="2">
        <v>5</v>
      </c>
      <c r="B7" s="5"/>
      <c r="C7" s="5"/>
      <c r="D7" s="5"/>
      <c r="E7" s="5"/>
      <c r="F7" s="5"/>
      <c r="G7" s="5"/>
      <c r="H7" s="5"/>
      <c r="I7" s="13"/>
    </row>
    <row r="8" spans="1:9">
      <c r="A8" s="6">
        <v>6</v>
      </c>
      <c r="B8" s="6"/>
      <c r="C8" s="6"/>
      <c r="D8" s="6"/>
      <c r="E8" s="6"/>
      <c r="F8" s="6"/>
      <c r="G8" s="6"/>
      <c r="H8" s="6"/>
      <c r="I8" s="13"/>
    </row>
    <row r="9" spans="1:9">
      <c r="A9" s="2">
        <v>7</v>
      </c>
      <c r="B9" s="3"/>
      <c r="C9" s="2"/>
      <c r="D9" s="2"/>
      <c r="E9" s="2"/>
      <c r="F9" s="2"/>
      <c r="G9" s="2"/>
      <c r="H9" s="2"/>
      <c r="I9" s="13"/>
    </row>
    <row r="10" spans="1:9">
      <c r="A10" s="2">
        <v>8</v>
      </c>
      <c r="B10" s="3"/>
      <c r="C10" s="2"/>
      <c r="D10" s="2"/>
      <c r="E10" s="2"/>
      <c r="F10" s="2"/>
      <c r="G10" s="2"/>
      <c r="H10" s="2"/>
      <c r="I10" s="13"/>
    </row>
    <row r="11" spans="1:9">
      <c r="A11" s="2">
        <v>9</v>
      </c>
      <c r="B11" s="2"/>
      <c r="C11" s="2"/>
      <c r="D11" s="2"/>
      <c r="E11" s="2"/>
      <c r="F11" s="2"/>
      <c r="G11" s="2"/>
      <c r="H11" s="2"/>
      <c r="I11" s="13"/>
    </row>
    <row r="12" spans="1:9">
      <c r="A12" s="2">
        <v>10</v>
      </c>
      <c r="B12" s="2"/>
      <c r="C12" s="2"/>
      <c r="D12" s="2"/>
      <c r="E12" s="2"/>
      <c r="F12" s="2"/>
      <c r="G12" s="2"/>
      <c r="H12" s="2"/>
      <c r="I12" s="13"/>
    </row>
    <row r="13" spans="1:9">
      <c r="A13" s="2"/>
      <c r="B13" s="2"/>
      <c r="C13" s="2"/>
      <c r="D13" s="2"/>
      <c r="E13" s="2"/>
      <c r="F13" s="2"/>
      <c r="G13" s="2"/>
      <c r="H13" s="2"/>
      <c r="I13" s="13"/>
    </row>
    <row r="14" spans="1:9">
      <c r="A14" s="2"/>
      <c r="B14" s="2"/>
      <c r="C14" s="2"/>
      <c r="D14" s="2"/>
      <c r="E14" s="2"/>
      <c r="F14" s="2"/>
      <c r="G14" s="2"/>
      <c r="H14" s="2"/>
      <c r="I14" s="13"/>
    </row>
    <row r="15" spans="1:9">
      <c r="A15" s="2"/>
      <c r="B15" s="2"/>
      <c r="C15" s="2"/>
      <c r="D15" s="2"/>
      <c r="E15" s="2"/>
      <c r="F15" s="2"/>
      <c r="G15" s="2"/>
      <c r="H15" s="2"/>
      <c r="I15" s="13"/>
    </row>
    <row r="16" spans="1:9">
      <c r="A16" s="2"/>
      <c r="B16" s="2"/>
      <c r="C16" s="2"/>
      <c r="D16" s="2"/>
      <c r="E16" s="2"/>
      <c r="F16" s="2"/>
      <c r="G16" s="2"/>
      <c r="H16" s="2"/>
      <c r="I16" s="13"/>
    </row>
    <row r="17" spans="1:9">
      <c r="A17" s="2"/>
      <c r="B17" s="2"/>
      <c r="C17" s="2"/>
      <c r="D17" s="2"/>
      <c r="E17" s="2"/>
      <c r="F17" s="2"/>
      <c r="G17" s="2"/>
      <c r="H17" s="2"/>
      <c r="I17" s="13"/>
    </row>
    <row r="18" spans="1:9">
      <c r="A18" s="2"/>
      <c r="B18" s="2"/>
      <c r="C18" s="2"/>
      <c r="D18" s="2"/>
      <c r="E18" s="2"/>
      <c r="F18" s="2"/>
      <c r="G18" s="2"/>
      <c r="H18" s="2"/>
      <c r="I18" s="13"/>
    </row>
    <row r="19" spans="1:9">
      <c r="A19" s="2"/>
      <c r="B19" s="2"/>
      <c r="C19" s="2"/>
      <c r="D19" s="2"/>
      <c r="E19" s="2"/>
      <c r="F19" s="2"/>
      <c r="G19" s="2"/>
      <c r="H19" s="2"/>
      <c r="I19" s="13"/>
    </row>
    <row r="20" spans="1:9">
      <c r="A20" s="2"/>
      <c r="B20" s="2"/>
      <c r="C20" s="2"/>
      <c r="D20" s="2"/>
      <c r="E20" s="2"/>
      <c r="F20" s="2"/>
      <c r="G20" s="2"/>
      <c r="H20" s="2"/>
      <c r="I20" s="13"/>
    </row>
  </sheetData>
  <mergeCells count="1">
    <mergeCell ref="A1:H1"/>
  </mergeCells>
  <pageMargins left="0.75" right="0.75" top="1" bottom="1" header="0.511805555555556" footer="0.511805555555556"/>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C15" sqref="C15"/>
    </sheetView>
  </sheetViews>
  <sheetFormatPr defaultColWidth="9" defaultRowHeight="14.25"/>
  <cols>
    <col min="2" max="2" width="29.375" customWidth="1"/>
    <col min="3" max="3" width="12.125" customWidth="1"/>
    <col min="5" max="5" width="16.75" customWidth="1"/>
    <col min="7" max="7" width="18.25" customWidth="1"/>
    <col min="8" max="8" width="26.375" customWidth="1"/>
    <col min="9" max="9" width="10.375"/>
  </cols>
  <sheetData>
    <row r="1" ht="20.25" spans="1:8">
      <c r="A1" s="1" t="s">
        <v>1607</v>
      </c>
      <c r="B1" s="1"/>
      <c r="C1" s="1"/>
      <c r="D1" s="1"/>
      <c r="E1" s="1"/>
      <c r="F1" s="1"/>
      <c r="G1" s="1"/>
      <c r="H1" s="1"/>
    </row>
    <row r="2" spans="1:9">
      <c r="A2" s="2" t="s">
        <v>1</v>
      </c>
      <c r="B2" s="2" t="s">
        <v>2</v>
      </c>
      <c r="C2" s="2" t="s">
        <v>1578</v>
      </c>
      <c r="D2" s="2" t="s">
        <v>4</v>
      </c>
      <c r="E2" s="2" t="s">
        <v>1579</v>
      </c>
      <c r="F2" s="2" t="s">
        <v>1580</v>
      </c>
      <c r="G2" s="2" t="s">
        <v>1581</v>
      </c>
      <c r="H2" s="2" t="s">
        <v>1582</v>
      </c>
      <c r="I2" s="13" t="s">
        <v>1583</v>
      </c>
    </row>
    <row r="3" spans="1:9">
      <c r="A3" s="2">
        <v>1</v>
      </c>
      <c r="B3" s="2"/>
      <c r="C3" s="2"/>
      <c r="D3" s="2"/>
      <c r="E3" s="4"/>
      <c r="F3" s="2"/>
      <c r="G3" s="2"/>
      <c r="H3" s="2"/>
      <c r="I3" s="14"/>
    </row>
    <row r="4" spans="1:9">
      <c r="A4" s="2">
        <v>2</v>
      </c>
      <c r="B4" s="2"/>
      <c r="C4" s="2"/>
      <c r="D4" s="2"/>
      <c r="E4" s="4"/>
      <c r="F4" s="2"/>
      <c r="G4" s="2"/>
      <c r="H4" s="2"/>
      <c r="I4" s="13"/>
    </row>
    <row r="5" spans="1:9">
      <c r="A5" s="2">
        <v>3</v>
      </c>
      <c r="B5" s="2"/>
      <c r="C5" s="2"/>
      <c r="D5" s="2"/>
      <c r="E5" s="4"/>
      <c r="F5" s="2"/>
      <c r="G5" s="2"/>
      <c r="H5" s="2"/>
      <c r="I5" s="13"/>
    </row>
    <row r="6" spans="1:9">
      <c r="A6" s="2">
        <v>4</v>
      </c>
      <c r="B6" s="2"/>
      <c r="C6" s="2"/>
      <c r="D6" s="2"/>
      <c r="E6" s="4"/>
      <c r="F6" s="2"/>
      <c r="G6" s="2"/>
      <c r="H6" s="2"/>
      <c r="I6" s="13"/>
    </row>
    <row r="7" spans="1:9">
      <c r="A7" s="2">
        <v>5</v>
      </c>
      <c r="B7" s="5"/>
      <c r="C7" s="5"/>
      <c r="D7" s="5"/>
      <c r="E7" s="5"/>
      <c r="F7" s="5"/>
      <c r="G7" s="5"/>
      <c r="H7" s="5"/>
      <c r="I7" s="13"/>
    </row>
    <row r="8" spans="1:9">
      <c r="A8" s="6">
        <v>6</v>
      </c>
      <c r="B8" s="6"/>
      <c r="C8" s="6"/>
      <c r="D8" s="6"/>
      <c r="E8" s="6"/>
      <c r="F8" s="6"/>
      <c r="G8" s="6"/>
      <c r="H8" s="6"/>
      <c r="I8" s="13"/>
    </row>
    <row r="9" spans="1:9">
      <c r="A9" s="2">
        <v>7</v>
      </c>
      <c r="B9" s="3"/>
      <c r="C9" s="2"/>
      <c r="D9" s="2"/>
      <c r="E9" s="2"/>
      <c r="F9" s="2"/>
      <c r="G9" s="2"/>
      <c r="H9" s="2"/>
      <c r="I9" s="13"/>
    </row>
    <row r="10" spans="1:9">
      <c r="A10" s="2">
        <v>8</v>
      </c>
      <c r="B10" s="3"/>
      <c r="C10" s="2"/>
      <c r="D10" s="2"/>
      <c r="E10" s="2"/>
      <c r="F10" s="2"/>
      <c r="G10" s="2"/>
      <c r="H10" s="2"/>
      <c r="I10" s="13"/>
    </row>
    <row r="11" spans="1:9">
      <c r="A11" s="2">
        <v>9</v>
      </c>
      <c r="B11" s="2"/>
      <c r="C11" s="2"/>
      <c r="D11" s="2"/>
      <c r="E11" s="2"/>
      <c r="F11" s="2"/>
      <c r="G11" s="2"/>
      <c r="H11" s="2"/>
      <c r="I11" s="13"/>
    </row>
    <row r="12" spans="1:9">
      <c r="A12" s="2">
        <v>10</v>
      </c>
      <c r="B12" s="2"/>
      <c r="C12" s="2"/>
      <c r="D12" s="2"/>
      <c r="E12" s="2"/>
      <c r="F12" s="2"/>
      <c r="G12" s="2"/>
      <c r="H12" s="2"/>
      <c r="I12" s="13"/>
    </row>
    <row r="13" spans="1:9">
      <c r="A13" s="2"/>
      <c r="B13" s="2"/>
      <c r="C13" s="2"/>
      <c r="D13" s="2"/>
      <c r="E13" s="2"/>
      <c r="F13" s="2"/>
      <c r="G13" s="2"/>
      <c r="H13" s="2"/>
      <c r="I13" s="13"/>
    </row>
    <row r="14" spans="1:9">
      <c r="A14" s="2"/>
      <c r="B14" s="2"/>
      <c r="C14" s="2"/>
      <c r="D14" s="2"/>
      <c r="E14" s="2"/>
      <c r="F14" s="2"/>
      <c r="G14" s="2"/>
      <c r="H14" s="2"/>
      <c r="I14" s="13"/>
    </row>
    <row r="15" spans="1:9">
      <c r="A15" s="2"/>
      <c r="B15" s="2"/>
      <c r="C15" s="2"/>
      <c r="D15" s="2"/>
      <c r="E15" s="2"/>
      <c r="F15" s="2"/>
      <c r="G15" s="2"/>
      <c r="H15" s="2"/>
      <c r="I15" s="13"/>
    </row>
    <row r="16" spans="1:9">
      <c r="A16" s="2"/>
      <c r="B16" s="2"/>
      <c r="C16" s="2"/>
      <c r="D16" s="2"/>
      <c r="E16" s="2"/>
      <c r="F16" s="2"/>
      <c r="G16" s="2"/>
      <c r="H16" s="2"/>
      <c r="I16" s="13"/>
    </row>
    <row r="17" spans="1:9">
      <c r="A17" s="2"/>
      <c r="B17" s="2"/>
      <c r="C17" s="2"/>
      <c r="D17" s="2"/>
      <c r="E17" s="2"/>
      <c r="F17" s="2"/>
      <c r="G17" s="2"/>
      <c r="H17" s="2"/>
      <c r="I17" s="13"/>
    </row>
    <row r="18" spans="1:9">
      <c r="A18" s="2"/>
      <c r="B18" s="2"/>
      <c r="C18" s="2"/>
      <c r="D18" s="2"/>
      <c r="E18" s="2"/>
      <c r="F18" s="2"/>
      <c r="G18" s="2"/>
      <c r="H18" s="2"/>
      <c r="I18" s="13"/>
    </row>
    <row r="19" spans="1:9">
      <c r="A19" s="2"/>
      <c r="B19" s="2"/>
      <c r="C19" s="2"/>
      <c r="D19" s="2"/>
      <c r="E19" s="2"/>
      <c r="F19" s="2"/>
      <c r="G19" s="2"/>
      <c r="H19" s="2"/>
      <c r="I19" s="13"/>
    </row>
    <row r="20" spans="1:9">
      <c r="A20" s="2"/>
      <c r="B20" s="2"/>
      <c r="C20" s="2"/>
      <c r="D20" s="2"/>
      <c r="E20" s="2"/>
      <c r="F20" s="2"/>
      <c r="G20" s="2"/>
      <c r="H20" s="2"/>
      <c r="I20" s="13"/>
    </row>
  </sheetData>
  <mergeCells count="1">
    <mergeCell ref="A1:H1"/>
  </mergeCells>
  <pageMargins left="0.75" right="0.75" top="1" bottom="1" header="0.511805555555556" footer="0.511805555555556"/>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G13" sqref="G13"/>
    </sheetView>
  </sheetViews>
  <sheetFormatPr defaultColWidth="9" defaultRowHeight="14.25"/>
  <cols>
    <col min="2" max="2" width="29.375" customWidth="1"/>
    <col min="3" max="3" width="12.125" customWidth="1"/>
    <col min="5" max="5" width="16.75" customWidth="1"/>
    <col min="7" max="7" width="18.25" customWidth="1"/>
    <col min="8" max="8" width="26.375" customWidth="1"/>
    <col min="9" max="9" width="10.375"/>
  </cols>
  <sheetData>
    <row r="1" ht="20.25" spans="1:8">
      <c r="A1" s="1" t="s">
        <v>1608</v>
      </c>
      <c r="B1" s="1"/>
      <c r="C1" s="1"/>
      <c r="D1" s="1"/>
      <c r="E1" s="1"/>
      <c r="F1" s="1"/>
      <c r="G1" s="1"/>
      <c r="H1" s="1"/>
    </row>
    <row r="2" spans="1:9">
      <c r="A2" s="2" t="s">
        <v>1</v>
      </c>
      <c r="B2" s="2" t="s">
        <v>2</v>
      </c>
      <c r="C2" s="2" t="s">
        <v>1578</v>
      </c>
      <c r="D2" s="2" t="s">
        <v>4</v>
      </c>
      <c r="E2" s="2" t="s">
        <v>1579</v>
      </c>
      <c r="F2" s="2" t="s">
        <v>1580</v>
      </c>
      <c r="G2" s="2" t="s">
        <v>1581</v>
      </c>
      <c r="H2" s="2" t="s">
        <v>1582</v>
      </c>
      <c r="I2" s="13" t="s">
        <v>1583</v>
      </c>
    </row>
    <row r="3" spans="1:9">
      <c r="A3" s="2">
        <v>1</v>
      </c>
      <c r="B3" s="2"/>
      <c r="C3" s="2"/>
      <c r="D3" s="2"/>
      <c r="E3" s="4"/>
      <c r="F3" s="2"/>
      <c r="G3" s="2"/>
      <c r="H3" s="2"/>
      <c r="I3" s="14"/>
    </row>
    <row r="4" spans="1:9">
      <c r="A4" s="2">
        <v>2</v>
      </c>
      <c r="B4" s="2"/>
      <c r="C4" s="2"/>
      <c r="D4" s="2"/>
      <c r="E4" s="4"/>
      <c r="F4" s="2"/>
      <c r="G4" s="2"/>
      <c r="H4" s="2"/>
      <c r="I4" s="13"/>
    </row>
    <row r="5" spans="1:9">
      <c r="A5" s="2">
        <v>3</v>
      </c>
      <c r="B5" s="2"/>
      <c r="C5" s="2"/>
      <c r="D5" s="2"/>
      <c r="E5" s="4"/>
      <c r="F5" s="2"/>
      <c r="G5" s="2"/>
      <c r="H5" s="2"/>
      <c r="I5" s="13"/>
    </row>
    <row r="6" spans="1:9">
      <c r="A6" s="2">
        <v>4</v>
      </c>
      <c r="B6" s="2"/>
      <c r="C6" s="2"/>
      <c r="D6" s="2"/>
      <c r="E6" s="4"/>
      <c r="F6" s="2"/>
      <c r="G6" s="2"/>
      <c r="H6" s="2"/>
      <c r="I6" s="13"/>
    </row>
    <row r="7" spans="1:9">
      <c r="A7" s="2">
        <v>5</v>
      </c>
      <c r="B7" s="5"/>
      <c r="C7" s="5"/>
      <c r="D7" s="5"/>
      <c r="E7" s="5"/>
      <c r="F7" s="5"/>
      <c r="G7" s="5"/>
      <c r="H7" s="5"/>
      <c r="I7" s="13"/>
    </row>
    <row r="8" spans="1:9">
      <c r="A8" s="6">
        <v>6</v>
      </c>
      <c r="B8" s="6"/>
      <c r="C8" s="6"/>
      <c r="D8" s="6"/>
      <c r="E8" s="6"/>
      <c r="F8" s="6"/>
      <c r="G8" s="6"/>
      <c r="H8" s="6"/>
      <c r="I8" s="13"/>
    </row>
    <row r="9" spans="1:9">
      <c r="A9" s="2">
        <v>7</v>
      </c>
      <c r="B9" s="3"/>
      <c r="C9" s="2"/>
      <c r="D9" s="2"/>
      <c r="E9" s="2"/>
      <c r="F9" s="2"/>
      <c r="G9" s="2"/>
      <c r="H9" s="2"/>
      <c r="I9" s="13"/>
    </row>
    <row r="10" spans="1:9">
      <c r="A10" s="2">
        <v>8</v>
      </c>
      <c r="B10" s="3"/>
      <c r="C10" s="2"/>
      <c r="D10" s="2"/>
      <c r="E10" s="2"/>
      <c r="F10" s="2"/>
      <c r="G10" s="2"/>
      <c r="H10" s="2"/>
      <c r="I10" s="13"/>
    </row>
    <row r="11" spans="1:9">
      <c r="A11" s="2">
        <v>9</v>
      </c>
      <c r="B11" s="2"/>
      <c r="C11" s="2"/>
      <c r="D11" s="2"/>
      <c r="E11" s="2"/>
      <c r="F11" s="2"/>
      <c r="G11" s="2"/>
      <c r="H11" s="2"/>
      <c r="I11" s="13"/>
    </row>
    <row r="12" spans="1:9">
      <c r="A12" s="2">
        <v>10</v>
      </c>
      <c r="B12" s="2"/>
      <c r="C12" s="2"/>
      <c r="D12" s="2"/>
      <c r="E12" s="2"/>
      <c r="F12" s="2"/>
      <c r="G12" s="2"/>
      <c r="H12" s="2"/>
      <c r="I12" s="13"/>
    </row>
    <row r="13" spans="1:9">
      <c r="A13" s="2"/>
      <c r="B13" s="2"/>
      <c r="C13" s="2"/>
      <c r="D13" s="2"/>
      <c r="E13" s="2"/>
      <c r="F13" s="2"/>
      <c r="G13" s="2"/>
      <c r="H13" s="2"/>
      <c r="I13" s="13"/>
    </row>
    <row r="14" spans="1:9">
      <c r="A14" s="2"/>
      <c r="B14" s="2"/>
      <c r="C14" s="2"/>
      <c r="D14" s="2"/>
      <c r="E14" s="2"/>
      <c r="F14" s="2"/>
      <c r="G14" s="2"/>
      <c r="H14" s="2"/>
      <c r="I14" s="13"/>
    </row>
    <row r="15" spans="1:9">
      <c r="A15" s="2"/>
      <c r="B15" s="2"/>
      <c r="C15" s="2"/>
      <c r="D15" s="2"/>
      <c r="E15" s="2"/>
      <c r="F15" s="2"/>
      <c r="G15" s="2"/>
      <c r="H15" s="2"/>
      <c r="I15" s="13"/>
    </row>
    <row r="16" spans="1:9">
      <c r="A16" s="2"/>
      <c r="B16" s="2"/>
      <c r="C16" s="2"/>
      <c r="D16" s="2"/>
      <c r="E16" s="2"/>
      <c r="F16" s="2"/>
      <c r="G16" s="2"/>
      <c r="H16" s="2"/>
      <c r="I16" s="13"/>
    </row>
    <row r="17" spans="1:9">
      <c r="A17" s="2"/>
      <c r="B17" s="2"/>
      <c r="C17" s="2"/>
      <c r="D17" s="2"/>
      <c r="E17" s="2"/>
      <c r="F17" s="2"/>
      <c r="G17" s="2"/>
      <c r="H17" s="2"/>
      <c r="I17" s="13"/>
    </row>
    <row r="18" spans="1:9">
      <c r="A18" s="2"/>
      <c r="B18" s="2"/>
      <c r="C18" s="2"/>
      <c r="D18" s="2"/>
      <c r="E18" s="2"/>
      <c r="F18" s="2"/>
      <c r="G18" s="2"/>
      <c r="H18" s="2"/>
      <c r="I18" s="13"/>
    </row>
    <row r="19" spans="1:9">
      <c r="A19" s="2"/>
      <c r="B19" s="2"/>
      <c r="C19" s="2"/>
      <c r="D19" s="2"/>
      <c r="E19" s="2"/>
      <c r="F19" s="2"/>
      <c r="G19" s="2"/>
      <c r="H19" s="2"/>
      <c r="I19" s="13"/>
    </row>
    <row r="20" spans="1:9">
      <c r="A20" s="2"/>
      <c r="B20" s="2"/>
      <c r="C20" s="2"/>
      <c r="D20" s="2"/>
      <c r="E20" s="2"/>
      <c r="F20" s="2"/>
      <c r="G20" s="2"/>
      <c r="H20" s="2"/>
      <c r="I20" s="13"/>
    </row>
  </sheetData>
  <mergeCells count="1">
    <mergeCell ref="A1:H1"/>
  </mergeCells>
  <pageMargins left="0.75" right="0.75" top="1" bottom="1" header="0.511805555555556" footer="0.511805555555556"/>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B4" sqref="B4:H4"/>
    </sheetView>
  </sheetViews>
  <sheetFormatPr defaultColWidth="9" defaultRowHeight="14.25"/>
  <cols>
    <col min="2" max="2" width="29.375" customWidth="1"/>
    <col min="3" max="3" width="12.125" customWidth="1"/>
    <col min="5" max="5" width="16.75" customWidth="1"/>
    <col min="7" max="7" width="18.25" customWidth="1"/>
    <col min="8" max="8" width="26.375" customWidth="1"/>
    <col min="9" max="9" width="10.375"/>
  </cols>
  <sheetData>
    <row r="1" ht="20.25" spans="1:8">
      <c r="A1" s="1" t="s">
        <v>1609</v>
      </c>
      <c r="B1" s="1"/>
      <c r="C1" s="1"/>
      <c r="D1" s="1"/>
      <c r="E1" s="1"/>
      <c r="F1" s="1"/>
      <c r="G1" s="1"/>
      <c r="H1" s="1"/>
    </row>
    <row r="2" spans="1:9">
      <c r="A2" s="2" t="s">
        <v>1</v>
      </c>
      <c r="B2" s="2" t="s">
        <v>2</v>
      </c>
      <c r="C2" s="2" t="s">
        <v>1578</v>
      </c>
      <c r="D2" s="2" t="s">
        <v>4</v>
      </c>
      <c r="E2" s="2" t="s">
        <v>1579</v>
      </c>
      <c r="F2" s="2" t="s">
        <v>1580</v>
      </c>
      <c r="G2" s="2" t="s">
        <v>1581</v>
      </c>
      <c r="H2" s="2" t="s">
        <v>1582</v>
      </c>
      <c r="I2" s="13" t="s">
        <v>1583</v>
      </c>
    </row>
    <row r="3" ht="28.5" spans="1:9">
      <c r="A3" s="2">
        <v>1</v>
      </c>
      <c r="B3" s="2" t="s">
        <v>1550</v>
      </c>
      <c r="C3" s="3" t="s">
        <v>1610</v>
      </c>
      <c r="D3" s="2" t="s">
        <v>1589</v>
      </c>
      <c r="E3" s="4"/>
      <c r="F3" s="2" t="s">
        <v>1590</v>
      </c>
      <c r="G3" s="2" t="s">
        <v>1060</v>
      </c>
      <c r="H3" s="2" t="s">
        <v>645</v>
      </c>
      <c r="I3" s="14"/>
    </row>
    <row r="4" spans="1:9">
      <c r="A4" s="2">
        <v>2</v>
      </c>
      <c r="B4" s="2" t="s">
        <v>1591</v>
      </c>
      <c r="C4" s="2" t="s">
        <v>1611</v>
      </c>
      <c r="D4" s="2" t="s">
        <v>1589</v>
      </c>
      <c r="E4" s="4"/>
      <c r="F4" s="2" t="s">
        <v>1593</v>
      </c>
      <c r="G4" s="2" t="s">
        <v>1594</v>
      </c>
      <c r="H4" s="2" t="s">
        <v>645</v>
      </c>
      <c r="I4" s="13"/>
    </row>
    <row r="5" spans="1:9">
      <c r="A5" s="2">
        <v>3</v>
      </c>
      <c r="B5" s="2"/>
      <c r="C5" s="2"/>
      <c r="D5" s="2"/>
      <c r="E5" s="4"/>
      <c r="F5" s="2"/>
      <c r="G5" s="2"/>
      <c r="H5" s="2"/>
      <c r="I5" s="13"/>
    </row>
    <row r="6" spans="1:9">
      <c r="A6" s="2">
        <v>4</v>
      </c>
      <c r="B6" s="2"/>
      <c r="C6" s="2"/>
      <c r="D6" s="2"/>
      <c r="E6" s="4"/>
      <c r="F6" s="2"/>
      <c r="G6" s="2"/>
      <c r="H6" s="2"/>
      <c r="I6" s="13"/>
    </row>
    <row r="7" spans="1:9">
      <c r="A7" s="2">
        <v>5</v>
      </c>
      <c r="B7" s="5"/>
      <c r="C7" s="5"/>
      <c r="D7" s="5"/>
      <c r="E7" s="5"/>
      <c r="F7" s="5"/>
      <c r="G7" s="5"/>
      <c r="H7" s="5"/>
      <c r="I7" s="13"/>
    </row>
    <row r="8" spans="1:9">
      <c r="A8" s="6">
        <v>6</v>
      </c>
      <c r="B8" s="6"/>
      <c r="C8" s="6"/>
      <c r="D8" s="6"/>
      <c r="E8" s="6"/>
      <c r="F8" s="6"/>
      <c r="G8" s="6"/>
      <c r="H8" s="6"/>
      <c r="I8" s="13"/>
    </row>
    <row r="9" spans="1:9">
      <c r="A9" s="2">
        <v>7</v>
      </c>
      <c r="B9" s="3"/>
      <c r="C9" s="2"/>
      <c r="D9" s="2"/>
      <c r="E9" s="2"/>
      <c r="F9" s="2"/>
      <c r="G9" s="2"/>
      <c r="H9" s="2"/>
      <c r="I9" s="13"/>
    </row>
    <row r="10" spans="1:9">
      <c r="A10" s="2">
        <v>8</v>
      </c>
      <c r="B10" s="3"/>
      <c r="C10" s="2"/>
      <c r="D10" s="2"/>
      <c r="E10" s="2"/>
      <c r="F10" s="2"/>
      <c r="G10" s="2"/>
      <c r="H10" s="2"/>
      <c r="I10" s="13"/>
    </row>
    <row r="11" spans="1:9">
      <c r="A11" s="2">
        <v>9</v>
      </c>
      <c r="B11" s="2"/>
      <c r="C11" s="2"/>
      <c r="D11" s="2"/>
      <c r="E11" s="2"/>
      <c r="F11" s="2"/>
      <c r="G11" s="2"/>
      <c r="H11" s="2"/>
      <c r="I11" s="13"/>
    </row>
    <row r="12" spans="1:9">
      <c r="A12" s="2">
        <v>10</v>
      </c>
      <c r="B12" s="2"/>
      <c r="C12" s="2"/>
      <c r="D12" s="2"/>
      <c r="E12" s="2"/>
      <c r="F12" s="2"/>
      <c r="G12" s="2"/>
      <c r="H12" s="2"/>
      <c r="I12" s="13"/>
    </row>
    <row r="13" spans="1:9">
      <c r="A13" s="2"/>
      <c r="B13" s="2"/>
      <c r="C13" s="2"/>
      <c r="D13" s="2"/>
      <c r="E13" s="2"/>
      <c r="F13" s="2"/>
      <c r="G13" s="2"/>
      <c r="H13" s="2"/>
      <c r="I13" s="13"/>
    </row>
    <row r="14" spans="1:9">
      <c r="A14" s="2"/>
      <c r="B14" s="2"/>
      <c r="C14" s="2"/>
      <c r="D14" s="2"/>
      <c r="E14" s="2"/>
      <c r="F14" s="2"/>
      <c r="G14" s="2"/>
      <c r="H14" s="2"/>
      <c r="I14" s="13"/>
    </row>
    <row r="15" spans="1:9">
      <c r="A15" s="2"/>
      <c r="B15" s="2"/>
      <c r="C15" s="2"/>
      <c r="D15" s="2"/>
      <c r="E15" s="2"/>
      <c r="F15" s="2"/>
      <c r="G15" s="2"/>
      <c r="H15" s="2"/>
      <c r="I15" s="13"/>
    </row>
    <row r="16" spans="1:9">
      <c r="A16" s="2"/>
      <c r="B16" s="2"/>
      <c r="C16" s="2"/>
      <c r="D16" s="2"/>
      <c r="E16" s="2"/>
      <c r="F16" s="2"/>
      <c r="G16" s="2"/>
      <c r="H16" s="2"/>
      <c r="I16" s="13"/>
    </row>
    <row r="17" spans="1:9">
      <c r="A17" s="2"/>
      <c r="B17" s="2"/>
      <c r="C17" s="2"/>
      <c r="D17" s="2"/>
      <c r="E17" s="2"/>
      <c r="F17" s="2"/>
      <c r="G17" s="2"/>
      <c r="H17" s="2"/>
      <c r="I17" s="13"/>
    </row>
    <row r="18" spans="1:9">
      <c r="A18" s="2"/>
      <c r="B18" s="2"/>
      <c r="C18" s="2"/>
      <c r="D18" s="2"/>
      <c r="E18" s="2"/>
      <c r="F18" s="2"/>
      <c r="G18" s="2"/>
      <c r="H18" s="2"/>
      <c r="I18" s="13"/>
    </row>
    <row r="19" spans="1:9">
      <c r="A19" s="2"/>
      <c r="B19" s="2"/>
      <c r="C19" s="2"/>
      <c r="D19" s="2"/>
      <c r="E19" s="2"/>
      <c r="F19" s="2"/>
      <c r="G19" s="2"/>
      <c r="H19" s="2"/>
      <c r="I19" s="13"/>
    </row>
    <row r="20" spans="1:9">
      <c r="A20" s="2"/>
      <c r="B20" s="2"/>
      <c r="C20" s="2"/>
      <c r="D20" s="2"/>
      <c r="E20" s="2"/>
      <c r="F20" s="2"/>
      <c r="G20" s="2"/>
      <c r="H20" s="2"/>
      <c r="I20" s="13"/>
    </row>
  </sheetData>
  <mergeCells count="1">
    <mergeCell ref="A1:H1"/>
  </mergeCells>
  <pageMargins left="0.75" right="0.75" top="1" bottom="1" header="0.511805555555556" footer="0.511805555555556"/>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8"/>
  <sheetViews>
    <sheetView topLeftCell="A13" workbookViewId="0">
      <selection activeCell="H26" sqref="H26"/>
    </sheetView>
  </sheetViews>
  <sheetFormatPr defaultColWidth="9" defaultRowHeight="14.25"/>
  <cols>
    <col min="2" max="2" width="29.375" style="7" customWidth="1"/>
    <col min="3" max="3" width="12.125" customWidth="1"/>
    <col min="5" max="5" width="16.75" customWidth="1"/>
    <col min="7" max="7" width="18.25" customWidth="1"/>
    <col min="8" max="8" width="26.375" customWidth="1"/>
    <col min="9" max="9" width="13.875" customWidth="1"/>
  </cols>
  <sheetData>
    <row r="1" ht="20.25" spans="1:8">
      <c r="A1" s="1" t="s">
        <v>1612</v>
      </c>
      <c r="B1" s="1"/>
      <c r="C1" s="1"/>
      <c r="D1" s="1"/>
      <c r="E1" s="1"/>
      <c r="F1" s="1"/>
      <c r="G1" s="1"/>
      <c r="H1" s="1"/>
    </row>
    <row r="2" spans="1:9">
      <c r="A2" s="2" t="s">
        <v>1</v>
      </c>
      <c r="B2" s="2" t="s">
        <v>2</v>
      </c>
      <c r="C2" s="2" t="s">
        <v>1578</v>
      </c>
      <c r="D2" s="2" t="s">
        <v>4</v>
      </c>
      <c r="E2" s="2" t="s">
        <v>1579</v>
      </c>
      <c r="F2" s="2" t="s">
        <v>1580</v>
      </c>
      <c r="G2" s="2" t="s">
        <v>1581</v>
      </c>
      <c r="H2" s="2" t="s">
        <v>1582</v>
      </c>
      <c r="I2" s="13" t="s">
        <v>1583</v>
      </c>
    </row>
    <row r="3" ht="28.5" spans="1:9">
      <c r="A3" s="2">
        <v>1</v>
      </c>
      <c r="B3" s="3" t="s">
        <v>1548</v>
      </c>
      <c r="C3" s="2" t="s">
        <v>1613</v>
      </c>
      <c r="D3" s="2" t="s">
        <v>1614</v>
      </c>
      <c r="E3" s="2"/>
      <c r="F3" s="2" t="s">
        <v>1615</v>
      </c>
      <c r="G3" s="3" t="s">
        <v>1616</v>
      </c>
      <c r="H3" s="2" t="s">
        <v>1558</v>
      </c>
      <c r="I3" s="13"/>
    </row>
    <row r="4" spans="1:9">
      <c r="A4" s="2">
        <v>2</v>
      </c>
      <c r="B4" s="3" t="s">
        <v>1553</v>
      </c>
      <c r="C4" s="2" t="s">
        <v>1617</v>
      </c>
      <c r="D4" s="2" t="s">
        <v>1614</v>
      </c>
      <c r="E4" s="2"/>
      <c r="F4" s="2"/>
      <c r="G4" s="2" t="s">
        <v>1047</v>
      </c>
      <c r="H4" s="2" t="s">
        <v>1558</v>
      </c>
      <c r="I4" s="13"/>
    </row>
    <row r="5" ht="28.5" spans="1:9">
      <c r="A5" s="2">
        <v>3</v>
      </c>
      <c r="B5" s="2" t="s">
        <v>1591</v>
      </c>
      <c r="C5" s="3" t="s">
        <v>1618</v>
      </c>
      <c r="D5" s="2" t="s">
        <v>1589</v>
      </c>
      <c r="E5" s="4"/>
      <c r="F5" s="2" t="s">
        <v>1619</v>
      </c>
      <c r="G5" s="2" t="s">
        <v>1175</v>
      </c>
      <c r="H5" s="2" t="s">
        <v>1558</v>
      </c>
      <c r="I5" s="14"/>
    </row>
    <row r="6" ht="28.5" spans="1:9">
      <c r="A6" s="2">
        <v>4</v>
      </c>
      <c r="B6" s="3" t="s">
        <v>1550</v>
      </c>
      <c r="C6" s="3" t="s">
        <v>1620</v>
      </c>
      <c r="D6" s="2" t="s">
        <v>1589</v>
      </c>
      <c r="E6" s="4"/>
      <c r="F6" s="2" t="s">
        <v>1590</v>
      </c>
      <c r="G6" s="2" t="s">
        <v>1175</v>
      </c>
      <c r="H6" s="2" t="s">
        <v>1558</v>
      </c>
      <c r="I6" s="13"/>
    </row>
    <row r="7" ht="28.5" spans="1:9">
      <c r="A7" s="2">
        <v>5</v>
      </c>
      <c r="B7" s="2" t="s">
        <v>1595</v>
      </c>
      <c r="C7" s="3" t="s">
        <v>1621</v>
      </c>
      <c r="D7" s="2" t="s">
        <v>1557</v>
      </c>
      <c r="E7" s="2"/>
      <c r="F7" s="3" t="s">
        <v>1597</v>
      </c>
      <c r="G7" s="2" t="s">
        <v>1622</v>
      </c>
      <c r="H7" s="2" t="s">
        <v>1558</v>
      </c>
      <c r="I7" s="13"/>
    </row>
    <row r="8" ht="28.5" spans="1:9">
      <c r="A8" s="2">
        <v>6</v>
      </c>
      <c r="B8" s="2" t="s">
        <v>1595</v>
      </c>
      <c r="C8" s="3" t="s">
        <v>1623</v>
      </c>
      <c r="D8" s="2" t="s">
        <v>1557</v>
      </c>
      <c r="E8" s="5"/>
      <c r="F8" s="3" t="s">
        <v>1597</v>
      </c>
      <c r="G8" s="37">
        <v>42957</v>
      </c>
      <c r="H8" s="38">
        <v>43018</v>
      </c>
      <c r="I8" s="13"/>
    </row>
    <row r="9" ht="28.5" spans="1:9">
      <c r="A9" s="2"/>
      <c r="B9" s="2" t="s">
        <v>1595</v>
      </c>
      <c r="C9" s="3" t="s">
        <v>1624</v>
      </c>
      <c r="D9" s="2" t="s">
        <v>1557</v>
      </c>
      <c r="E9" s="6"/>
      <c r="F9" s="3" t="s">
        <v>1625</v>
      </c>
      <c r="G9" s="37">
        <v>42957</v>
      </c>
      <c r="H9" s="38">
        <v>43018</v>
      </c>
      <c r="I9" s="13" t="s">
        <v>1626</v>
      </c>
    </row>
    <row r="10" spans="1:9">
      <c r="A10" s="2"/>
      <c r="B10" s="6"/>
      <c r="C10" s="6"/>
      <c r="D10" s="6"/>
      <c r="E10" s="6"/>
      <c r="F10" s="6"/>
      <c r="G10" s="6"/>
      <c r="H10" s="6"/>
      <c r="I10" s="13"/>
    </row>
    <row r="11" spans="1:9">
      <c r="A11" s="2"/>
      <c r="B11" s="6"/>
      <c r="C11" s="6"/>
      <c r="D11" s="6"/>
      <c r="E11" s="6"/>
      <c r="F11" s="6"/>
      <c r="G11" s="6"/>
      <c r="H11" s="6"/>
      <c r="I11" s="13"/>
    </row>
    <row r="12" spans="1:9">
      <c r="A12" s="2"/>
      <c r="B12" s="6"/>
      <c r="C12" s="6"/>
      <c r="D12" s="6"/>
      <c r="E12" s="6"/>
      <c r="F12" s="6"/>
      <c r="G12" s="6"/>
      <c r="H12" s="6"/>
      <c r="I12" s="13"/>
    </row>
    <row r="13" spans="1:9">
      <c r="A13" s="2"/>
      <c r="B13" s="6"/>
      <c r="C13" s="6"/>
      <c r="D13" s="6"/>
      <c r="E13" s="6"/>
      <c r="F13" s="6"/>
      <c r="G13" s="6"/>
      <c r="H13" s="6"/>
      <c r="I13" s="13"/>
    </row>
    <row r="14" spans="1:9">
      <c r="A14" s="2">
        <v>8</v>
      </c>
      <c r="B14" s="3"/>
      <c r="C14" s="2"/>
      <c r="D14" s="2"/>
      <c r="E14" s="2"/>
      <c r="F14" s="2"/>
      <c r="G14" s="2"/>
      <c r="H14" s="2"/>
      <c r="I14" s="13"/>
    </row>
    <row r="15" spans="1:9">
      <c r="A15" s="39"/>
      <c r="B15" s="40"/>
      <c r="C15" s="39"/>
      <c r="D15" s="39"/>
      <c r="E15" s="39"/>
      <c r="F15" s="39"/>
      <c r="G15" s="39"/>
      <c r="H15" s="39"/>
      <c r="I15" s="15"/>
    </row>
    <row r="16" spans="1:9">
      <c r="A16" s="39"/>
      <c r="B16" s="40"/>
      <c r="C16" s="39"/>
      <c r="D16" s="39"/>
      <c r="E16" s="39"/>
      <c r="F16" s="39"/>
      <c r="G16" s="39"/>
      <c r="H16" s="39"/>
      <c r="I16" s="15"/>
    </row>
    <row r="17" spans="1:9">
      <c r="A17" s="39"/>
      <c r="B17" s="40"/>
      <c r="C17" s="39"/>
      <c r="D17" s="39"/>
      <c r="E17" s="39"/>
      <c r="F17" s="39"/>
      <c r="G17" s="39"/>
      <c r="H17" s="39"/>
      <c r="I17" s="15"/>
    </row>
    <row r="18" spans="1:9">
      <c r="A18" s="39"/>
      <c r="B18" s="40"/>
      <c r="C18" s="39"/>
      <c r="D18" s="39"/>
      <c r="E18" s="39"/>
      <c r="F18" s="39"/>
      <c r="G18" s="39"/>
      <c r="H18" s="39"/>
      <c r="I18" s="15"/>
    </row>
    <row r="19" spans="1:9">
      <c r="A19" s="2" t="s">
        <v>1</v>
      </c>
      <c r="B19" s="2" t="s">
        <v>2</v>
      </c>
      <c r="C19" s="2" t="s">
        <v>1578</v>
      </c>
      <c r="D19" s="2" t="s">
        <v>4</v>
      </c>
      <c r="E19" s="8" t="s">
        <v>1627</v>
      </c>
      <c r="F19" s="9"/>
      <c r="G19" s="12"/>
      <c r="H19" s="2" t="s">
        <v>8</v>
      </c>
      <c r="I19" s="13" t="s">
        <v>12</v>
      </c>
    </row>
    <row r="20" ht="28.5" spans="1:9">
      <c r="A20" s="2">
        <v>1</v>
      </c>
      <c r="B20" s="6" t="s">
        <v>1584</v>
      </c>
      <c r="C20" s="33" t="s">
        <v>1628</v>
      </c>
      <c r="D20" s="6">
        <v>1</v>
      </c>
      <c r="E20" s="8" t="s">
        <v>1629</v>
      </c>
      <c r="F20" s="9"/>
      <c r="G20" s="12"/>
      <c r="H20" s="2" t="s">
        <v>1083</v>
      </c>
      <c r="I20" s="13" t="s">
        <v>1630</v>
      </c>
    </row>
    <row r="21" ht="28.5" spans="1:9">
      <c r="A21" s="2">
        <v>2</v>
      </c>
      <c r="B21" s="6" t="s">
        <v>1584</v>
      </c>
      <c r="C21" s="33" t="s">
        <v>1631</v>
      </c>
      <c r="D21" s="2">
        <v>1</v>
      </c>
      <c r="E21" s="8" t="s">
        <v>1632</v>
      </c>
      <c r="F21" s="9"/>
      <c r="G21" s="12"/>
      <c r="H21" s="2" t="s">
        <v>1083</v>
      </c>
      <c r="I21" s="13"/>
    </row>
    <row r="22" ht="28.5" spans="1:9">
      <c r="A22" s="2">
        <v>3</v>
      </c>
      <c r="B22" s="6" t="s">
        <v>1584</v>
      </c>
      <c r="C22" s="33" t="s">
        <v>1633</v>
      </c>
      <c r="D22" s="2">
        <v>1</v>
      </c>
      <c r="E22" s="8" t="s">
        <v>1634</v>
      </c>
      <c r="F22" s="9"/>
      <c r="G22" s="12"/>
      <c r="H22" s="2" t="s">
        <v>1083</v>
      </c>
      <c r="I22" s="13" t="s">
        <v>1630</v>
      </c>
    </row>
    <row r="23" ht="28.5" spans="1:9">
      <c r="A23" s="2">
        <v>4</v>
      </c>
      <c r="B23" s="6" t="s">
        <v>1584</v>
      </c>
      <c r="C23" s="33" t="s">
        <v>1635</v>
      </c>
      <c r="D23" s="2">
        <v>1</v>
      </c>
      <c r="E23" s="8" t="s">
        <v>1636</v>
      </c>
      <c r="F23" s="9"/>
      <c r="G23" s="12"/>
      <c r="H23" s="2" t="s">
        <v>1083</v>
      </c>
      <c r="I23" s="13" t="s">
        <v>1630</v>
      </c>
    </row>
    <row r="24" ht="28.5" spans="1:9">
      <c r="A24" s="2">
        <v>5</v>
      </c>
      <c r="B24" s="6" t="s">
        <v>1584</v>
      </c>
      <c r="C24" s="33" t="s">
        <v>1637</v>
      </c>
      <c r="D24" s="2"/>
      <c r="E24" s="8" t="s">
        <v>1638</v>
      </c>
      <c r="F24" s="9"/>
      <c r="G24" s="12"/>
      <c r="H24" s="2" t="s">
        <v>890</v>
      </c>
      <c r="I24" s="13" t="s">
        <v>1630</v>
      </c>
    </row>
    <row r="25" spans="1:9">
      <c r="A25" s="2">
        <v>6</v>
      </c>
      <c r="B25" s="2"/>
      <c r="C25" s="2"/>
      <c r="D25" s="2"/>
      <c r="E25" s="8"/>
      <c r="F25" s="9"/>
      <c r="G25" s="12"/>
      <c r="H25" s="2"/>
      <c r="I25" s="13"/>
    </row>
    <row r="26" spans="1:9">
      <c r="A26" s="2">
        <v>7</v>
      </c>
      <c r="B26" s="2"/>
      <c r="C26" s="2"/>
      <c r="D26" s="2"/>
      <c r="E26" s="8"/>
      <c r="F26" s="9"/>
      <c r="G26" s="12"/>
      <c r="H26" s="2"/>
      <c r="I26" s="13"/>
    </row>
    <row r="27" spans="1:9">
      <c r="A27" s="2">
        <v>8</v>
      </c>
      <c r="B27" s="2"/>
      <c r="C27" s="2"/>
      <c r="D27" s="2"/>
      <c r="E27" s="8"/>
      <c r="F27" s="9"/>
      <c r="G27" s="12"/>
      <c r="H27" s="2"/>
      <c r="I27" s="13"/>
    </row>
    <row r="28" spans="1:9">
      <c r="A28" s="2">
        <v>9</v>
      </c>
      <c r="B28" s="2"/>
      <c r="C28" s="2"/>
      <c r="D28" s="2"/>
      <c r="E28" s="8"/>
      <c r="F28" s="9"/>
      <c r="G28" s="12"/>
      <c r="H28" s="2"/>
      <c r="I28" s="13"/>
    </row>
  </sheetData>
  <mergeCells count="11">
    <mergeCell ref="A1:H1"/>
    <mergeCell ref="E19:G19"/>
    <mergeCell ref="E20:G20"/>
    <mergeCell ref="E21:G21"/>
    <mergeCell ref="E22:G22"/>
    <mergeCell ref="E23:G23"/>
    <mergeCell ref="E24:G24"/>
    <mergeCell ref="E25:G25"/>
    <mergeCell ref="E26:G26"/>
    <mergeCell ref="E27:G27"/>
    <mergeCell ref="E28:G28"/>
  </mergeCells>
  <pageMargins left="0.75" right="0.75" top="1" bottom="1" header="0.511805555555556" footer="0.511805555555556"/>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
  <sheetViews>
    <sheetView workbookViewId="0">
      <selection activeCell="D13" sqref="D13"/>
    </sheetView>
  </sheetViews>
  <sheetFormatPr defaultColWidth="9" defaultRowHeight="14.25"/>
  <cols>
    <col min="2" max="2" width="29.375" customWidth="1"/>
    <col min="3" max="3" width="12.125" customWidth="1"/>
    <col min="5" max="5" width="16.75" customWidth="1"/>
    <col min="7" max="7" width="18.25" customWidth="1"/>
    <col min="8" max="8" width="26.375" customWidth="1"/>
    <col min="9" max="9" width="10.375"/>
  </cols>
  <sheetData>
    <row r="1" ht="20.25" spans="1:8">
      <c r="A1" s="1" t="s">
        <v>1639</v>
      </c>
      <c r="B1" s="1"/>
      <c r="C1" s="1"/>
      <c r="D1" s="1"/>
      <c r="E1" s="1"/>
      <c r="F1" s="1"/>
      <c r="G1" s="1"/>
      <c r="H1" s="1"/>
    </row>
    <row r="2" spans="1:9">
      <c r="A2" s="2" t="s">
        <v>1</v>
      </c>
      <c r="B2" s="2" t="s">
        <v>2</v>
      </c>
      <c r="C2" s="2" t="s">
        <v>1578</v>
      </c>
      <c r="D2" s="2" t="s">
        <v>4</v>
      </c>
      <c r="E2" s="2" t="s">
        <v>1579</v>
      </c>
      <c r="F2" s="2" t="s">
        <v>1580</v>
      </c>
      <c r="G2" s="2" t="s">
        <v>1581</v>
      </c>
      <c r="H2" s="2" t="s">
        <v>1582</v>
      </c>
      <c r="I2" s="13" t="s">
        <v>1583</v>
      </c>
    </row>
    <row r="3" spans="1:9">
      <c r="A3" s="2">
        <v>1</v>
      </c>
      <c r="B3" s="2" t="s">
        <v>1591</v>
      </c>
      <c r="C3" s="2" t="s">
        <v>1640</v>
      </c>
      <c r="D3" s="2" t="s">
        <v>1589</v>
      </c>
      <c r="E3" s="4"/>
      <c r="F3" s="2" t="s">
        <v>1593</v>
      </c>
      <c r="G3" s="23">
        <v>42962</v>
      </c>
      <c r="H3" s="23">
        <v>43018</v>
      </c>
      <c r="I3" s="24" t="s">
        <v>1641</v>
      </c>
    </row>
    <row r="4" spans="1:9">
      <c r="A4" s="2">
        <v>2</v>
      </c>
      <c r="B4" s="2" t="s">
        <v>1591</v>
      </c>
      <c r="C4" s="2"/>
      <c r="D4" s="2" t="s">
        <v>1589</v>
      </c>
      <c r="E4" s="4"/>
      <c r="F4" s="2" t="s">
        <v>1619</v>
      </c>
      <c r="G4" s="23">
        <v>42962</v>
      </c>
      <c r="H4" s="23">
        <v>43018</v>
      </c>
      <c r="I4" s="25"/>
    </row>
    <row r="5" spans="1:9">
      <c r="A5" s="2">
        <v>3</v>
      </c>
      <c r="B5" s="2" t="s">
        <v>1550</v>
      </c>
      <c r="C5" s="2"/>
      <c r="D5" s="2" t="s">
        <v>1589</v>
      </c>
      <c r="E5" s="4"/>
      <c r="F5" s="2" t="s">
        <v>1590</v>
      </c>
      <c r="G5" s="23">
        <v>42962</v>
      </c>
      <c r="H5" s="23">
        <v>43018</v>
      </c>
      <c r="I5" s="26"/>
    </row>
    <row r="6" spans="1:9">
      <c r="A6" s="2">
        <v>4</v>
      </c>
      <c r="B6" s="2"/>
      <c r="C6" s="2"/>
      <c r="D6" s="2"/>
      <c r="E6" s="4"/>
      <c r="F6" s="2"/>
      <c r="G6" s="2"/>
      <c r="H6" s="2"/>
      <c r="I6" s="13"/>
    </row>
    <row r="7" spans="1:9">
      <c r="A7" s="2">
        <v>5</v>
      </c>
      <c r="B7" s="5"/>
      <c r="C7" s="5"/>
      <c r="D7" s="5"/>
      <c r="E7" s="5"/>
      <c r="F7" s="5"/>
      <c r="G7" s="5"/>
      <c r="H7" s="5"/>
      <c r="I7" s="13"/>
    </row>
    <row r="8" spans="1:9">
      <c r="A8" s="6">
        <v>6</v>
      </c>
      <c r="B8" s="6"/>
      <c r="C8" s="6"/>
      <c r="D8" s="6"/>
      <c r="E8" s="6"/>
      <c r="F8" s="6"/>
      <c r="G8" s="6"/>
      <c r="H8" s="6"/>
      <c r="I8" s="13"/>
    </row>
    <row r="9" spans="1:9">
      <c r="A9" s="2">
        <v>7</v>
      </c>
      <c r="B9" s="3"/>
      <c r="C9" s="2"/>
      <c r="D9" s="2"/>
      <c r="E9" s="2"/>
      <c r="F9" s="2"/>
      <c r="G9" s="2"/>
      <c r="H9" s="2"/>
      <c r="I9" s="13"/>
    </row>
    <row r="10" spans="1:9">
      <c r="A10" s="2">
        <v>8</v>
      </c>
      <c r="B10" s="3"/>
      <c r="C10" s="2"/>
      <c r="D10" s="2"/>
      <c r="E10" s="2"/>
      <c r="F10" s="2"/>
      <c r="G10" s="2"/>
      <c r="H10" s="2"/>
      <c r="I10" s="13"/>
    </row>
    <row r="11" spans="1:9">
      <c r="A11" s="2">
        <v>9</v>
      </c>
      <c r="B11" s="2"/>
      <c r="C11" s="2"/>
      <c r="D11" s="2"/>
      <c r="E11" s="2"/>
      <c r="F11" s="2"/>
      <c r="G11" s="2"/>
      <c r="H11" s="2"/>
      <c r="I11" s="13"/>
    </row>
    <row r="12" spans="1:9">
      <c r="A12" s="2">
        <v>10</v>
      </c>
      <c r="B12" s="2"/>
      <c r="C12" s="2"/>
      <c r="D12" s="2"/>
      <c r="E12" s="2"/>
      <c r="F12" s="2"/>
      <c r="G12" s="2"/>
      <c r="H12" s="2"/>
      <c r="I12" s="13"/>
    </row>
    <row r="13" spans="1:9">
      <c r="A13" s="2"/>
      <c r="B13" s="2"/>
      <c r="C13" s="2"/>
      <c r="D13" s="2"/>
      <c r="E13" s="2"/>
      <c r="F13" s="2"/>
      <c r="G13" s="2"/>
      <c r="H13" s="2"/>
      <c r="I13" s="13"/>
    </row>
    <row r="14" spans="1:9">
      <c r="A14" s="2"/>
      <c r="B14" s="2"/>
      <c r="C14" s="2"/>
      <c r="D14" s="2"/>
      <c r="E14" s="2"/>
      <c r="F14" s="2"/>
      <c r="G14" s="2"/>
      <c r="H14" s="2"/>
      <c r="I14" s="13"/>
    </row>
    <row r="15" spans="1:9">
      <c r="A15" s="2"/>
      <c r="B15" s="2"/>
      <c r="C15" s="2"/>
      <c r="D15" s="2"/>
      <c r="E15" s="2"/>
      <c r="F15" s="2"/>
      <c r="G15" s="2"/>
      <c r="H15" s="2"/>
      <c r="I15" s="13"/>
    </row>
    <row r="16" spans="1:9">
      <c r="A16" s="2"/>
      <c r="B16" s="2"/>
      <c r="C16" s="2"/>
      <c r="D16" s="2"/>
      <c r="E16" s="2"/>
      <c r="F16" s="2"/>
      <c r="G16" s="2"/>
      <c r="H16" s="2"/>
      <c r="I16" s="13"/>
    </row>
    <row r="17" spans="1:9">
      <c r="A17" s="2"/>
      <c r="B17" s="2"/>
      <c r="C17" s="2"/>
      <c r="D17" s="2"/>
      <c r="E17" s="2"/>
      <c r="F17" s="2"/>
      <c r="G17" s="2"/>
      <c r="H17" s="2"/>
      <c r="I17" s="13"/>
    </row>
    <row r="18" spans="1:9">
      <c r="A18" s="2"/>
      <c r="B18" s="2"/>
      <c r="C18" s="2"/>
      <c r="D18" s="2"/>
      <c r="E18" s="2"/>
      <c r="F18" s="2"/>
      <c r="G18" s="2"/>
      <c r="H18" s="2"/>
      <c r="I18" s="13"/>
    </row>
    <row r="19" spans="1:9">
      <c r="A19" s="2"/>
      <c r="B19" s="2"/>
      <c r="C19" s="2"/>
      <c r="D19" s="2"/>
      <c r="E19" s="2"/>
      <c r="F19" s="2"/>
      <c r="G19" s="2"/>
      <c r="H19" s="2"/>
      <c r="I19" s="13"/>
    </row>
    <row r="20" spans="1:9">
      <c r="A20" s="2"/>
      <c r="B20" s="2"/>
      <c r="C20" s="2"/>
      <c r="D20" s="2"/>
      <c r="E20" s="2"/>
      <c r="F20" s="2"/>
      <c r="G20" s="2"/>
      <c r="H20" s="2"/>
      <c r="I20" s="13"/>
    </row>
    <row r="21" spans="2:2">
      <c r="B21" t="s">
        <v>48</v>
      </c>
    </row>
  </sheetData>
  <mergeCells count="2">
    <mergeCell ref="A1:H1"/>
    <mergeCell ref="I3:I5"/>
  </mergeCells>
  <pageMargins left="0.75" right="0.75" top="1" bottom="1" header="0.511805555555556" footer="0.511805555555556"/>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
  <sheetViews>
    <sheetView workbookViewId="0">
      <selection activeCell="B5" sqref="B5:B6"/>
    </sheetView>
  </sheetViews>
  <sheetFormatPr defaultColWidth="9" defaultRowHeight="14.25" outlineLevelCol="7"/>
  <cols>
    <col min="2" max="2" width="29.625" customWidth="1"/>
    <col min="3" max="3" width="20" customWidth="1"/>
    <col min="4" max="4" width="8.5" customWidth="1"/>
    <col min="5" max="5" width="30.125" customWidth="1"/>
    <col min="6" max="6" width="11" customWidth="1"/>
    <col min="7" max="7" width="30.125" customWidth="1"/>
    <col min="8" max="8" width="19.25" customWidth="1"/>
  </cols>
  <sheetData>
    <row r="1" ht="20.25" spans="1:8">
      <c r="A1" s="1" t="s">
        <v>1642</v>
      </c>
      <c r="B1" s="1"/>
      <c r="C1" s="1"/>
      <c r="D1" s="1"/>
      <c r="E1" s="1"/>
      <c r="F1" s="1"/>
      <c r="G1" s="1"/>
      <c r="H1" s="1"/>
    </row>
    <row r="2" spans="1:8">
      <c r="A2" s="2" t="s">
        <v>1</v>
      </c>
      <c r="B2" s="2" t="s">
        <v>2</v>
      </c>
      <c r="C2" s="2" t="s">
        <v>1578</v>
      </c>
      <c r="D2" s="2" t="s">
        <v>4</v>
      </c>
      <c r="E2" s="2" t="s">
        <v>1579</v>
      </c>
      <c r="F2" s="2" t="s">
        <v>1643</v>
      </c>
      <c r="G2" s="2" t="s">
        <v>1581</v>
      </c>
      <c r="H2" s="2" t="s">
        <v>1582</v>
      </c>
    </row>
    <row r="3" spans="1:8">
      <c r="A3" s="2">
        <v>1</v>
      </c>
      <c r="B3" s="2" t="s">
        <v>1644</v>
      </c>
      <c r="C3" s="2" t="s">
        <v>1645</v>
      </c>
      <c r="D3" s="2">
        <v>5</v>
      </c>
      <c r="E3" s="27" t="s">
        <v>1646</v>
      </c>
      <c r="F3" s="2" t="s">
        <v>1647</v>
      </c>
      <c r="G3" s="2" t="s">
        <v>603</v>
      </c>
      <c r="H3" s="2"/>
    </row>
    <row r="4" spans="1:8">
      <c r="A4" s="2">
        <v>2</v>
      </c>
      <c r="B4" s="2" t="s">
        <v>1644</v>
      </c>
      <c r="C4" s="2" t="s">
        <v>1648</v>
      </c>
      <c r="D4" s="2">
        <v>5</v>
      </c>
      <c r="E4" s="29"/>
      <c r="F4" s="2" t="s">
        <v>1649</v>
      </c>
      <c r="G4" s="2" t="s">
        <v>1650</v>
      </c>
      <c r="H4" s="2"/>
    </row>
    <row r="5" spans="1:8">
      <c r="A5" s="2">
        <v>3</v>
      </c>
      <c r="B5" s="2" t="s">
        <v>1550</v>
      </c>
      <c r="C5" s="2" t="s">
        <v>1651</v>
      </c>
      <c r="D5" s="2">
        <v>5</v>
      </c>
      <c r="E5" s="29"/>
      <c r="F5" s="2" t="s">
        <v>1652</v>
      </c>
      <c r="G5" s="2" t="s">
        <v>904</v>
      </c>
      <c r="H5" s="2"/>
    </row>
    <row r="6" spans="1:8">
      <c r="A6" s="2">
        <v>4</v>
      </c>
      <c r="B6" s="2" t="s">
        <v>1591</v>
      </c>
      <c r="C6" s="2" t="s">
        <v>1653</v>
      </c>
      <c r="D6" s="2">
        <v>5</v>
      </c>
      <c r="E6" s="32"/>
      <c r="F6" s="2" t="s">
        <v>1593</v>
      </c>
      <c r="G6" s="2" t="s">
        <v>904</v>
      </c>
      <c r="H6" s="2"/>
    </row>
    <row r="7" s="35" customFormat="1" spans="1:8">
      <c r="A7" s="2">
        <v>5</v>
      </c>
      <c r="B7" s="5" t="s">
        <v>1548</v>
      </c>
      <c r="C7" s="5"/>
      <c r="D7" s="5">
        <v>5</v>
      </c>
      <c r="E7" s="5"/>
      <c r="F7" s="5" t="s">
        <v>1654</v>
      </c>
      <c r="G7" s="5" t="s">
        <v>904</v>
      </c>
      <c r="H7" s="5"/>
    </row>
    <row r="8" s="36" customFormat="1" spans="1:8">
      <c r="A8" s="6">
        <v>6</v>
      </c>
      <c r="B8" s="6" t="s">
        <v>1655</v>
      </c>
      <c r="C8" s="6"/>
      <c r="D8" s="6">
        <v>5</v>
      </c>
      <c r="E8" s="6" t="s">
        <v>1656</v>
      </c>
      <c r="F8" s="6" t="s">
        <v>1657</v>
      </c>
      <c r="G8" s="6" t="s">
        <v>1658</v>
      </c>
      <c r="H8" s="6"/>
    </row>
    <row r="9" ht="28.5" spans="1:8">
      <c r="A9" s="2">
        <v>7</v>
      </c>
      <c r="B9" s="3" t="s">
        <v>1659</v>
      </c>
      <c r="C9" s="2"/>
      <c r="D9" s="2">
        <v>5</v>
      </c>
      <c r="E9" s="2"/>
      <c r="F9" s="2"/>
      <c r="G9" s="2"/>
      <c r="H9" s="2"/>
    </row>
    <row r="10" spans="1:8">
      <c r="A10" s="2">
        <v>8</v>
      </c>
      <c r="B10" s="3" t="s">
        <v>1660</v>
      </c>
      <c r="C10" s="2"/>
      <c r="D10" s="2"/>
      <c r="E10" s="2"/>
      <c r="F10" s="2"/>
      <c r="G10" s="2"/>
      <c r="H10" s="2"/>
    </row>
    <row r="11" spans="1:8">
      <c r="A11" s="2">
        <v>9</v>
      </c>
      <c r="B11" s="2" t="s">
        <v>1661</v>
      </c>
      <c r="C11" s="2"/>
      <c r="D11" s="2">
        <v>5</v>
      </c>
      <c r="E11" s="2"/>
      <c r="F11" s="2"/>
      <c r="G11" s="2"/>
      <c r="H11" s="2"/>
    </row>
    <row r="12" spans="1:8">
      <c r="A12" s="2">
        <v>10</v>
      </c>
      <c r="B12" s="2"/>
      <c r="C12" s="2"/>
      <c r="D12" s="2"/>
      <c r="E12" s="2"/>
      <c r="F12" s="2"/>
      <c r="G12" s="2"/>
      <c r="H12" s="2"/>
    </row>
    <row r="13" spans="1:8">
      <c r="A13" s="2"/>
      <c r="B13" s="2"/>
      <c r="C13" s="2"/>
      <c r="D13" s="2"/>
      <c r="E13" s="2"/>
      <c r="F13" s="2"/>
      <c r="G13" s="2"/>
      <c r="H13" s="2"/>
    </row>
    <row r="14" spans="1:8">
      <c r="A14" s="2"/>
      <c r="B14" s="2"/>
      <c r="C14" s="2"/>
      <c r="D14" s="2"/>
      <c r="E14" s="2"/>
      <c r="F14" s="2"/>
      <c r="G14" s="2"/>
      <c r="H14" s="2"/>
    </row>
    <row r="15" spans="1:8">
      <c r="A15" s="2"/>
      <c r="B15" s="2"/>
      <c r="C15" s="2"/>
      <c r="D15" s="2"/>
      <c r="E15" s="2"/>
      <c r="F15" s="2"/>
      <c r="G15" s="2"/>
      <c r="H15" s="2"/>
    </row>
    <row r="16" spans="1:8">
      <c r="A16" s="2"/>
      <c r="B16" s="2"/>
      <c r="C16" s="2"/>
      <c r="D16" s="2"/>
      <c r="E16" s="2"/>
      <c r="F16" s="2"/>
      <c r="G16" s="2"/>
      <c r="H16" s="2"/>
    </row>
    <row r="17" spans="1:8">
      <c r="A17" s="2"/>
      <c r="B17" s="2"/>
      <c r="C17" s="2"/>
      <c r="D17" s="2"/>
      <c r="E17" s="2"/>
      <c r="F17" s="2"/>
      <c r="G17" s="2"/>
      <c r="H17" s="2"/>
    </row>
    <row r="18" spans="1:8">
      <c r="A18" s="2"/>
      <c r="B18" s="2"/>
      <c r="C18" s="2"/>
      <c r="D18" s="2"/>
      <c r="E18" s="2"/>
      <c r="F18" s="2"/>
      <c r="G18" s="2"/>
      <c r="H18" s="2"/>
    </row>
    <row r="19" spans="1:8">
      <c r="A19" s="2"/>
      <c r="B19" s="2"/>
      <c r="C19" s="2"/>
      <c r="D19" s="2"/>
      <c r="E19" s="2"/>
      <c r="F19" s="2"/>
      <c r="G19" s="2"/>
      <c r="H19" s="2"/>
    </row>
    <row r="20" spans="1:8">
      <c r="A20" s="2"/>
      <c r="B20" s="2"/>
      <c r="C20" s="2"/>
      <c r="D20" s="2"/>
      <c r="E20" s="2"/>
      <c r="F20" s="2"/>
      <c r="G20" s="2"/>
      <c r="H20" s="2"/>
    </row>
    <row r="21" spans="1:8">
      <c r="A21" s="2"/>
      <c r="B21" s="2"/>
      <c r="C21" s="2"/>
      <c r="D21" s="2"/>
      <c r="E21" s="2"/>
      <c r="F21" s="2"/>
      <c r="G21" s="2"/>
      <c r="H21" s="2"/>
    </row>
    <row r="22" spans="1:8">
      <c r="A22" s="2"/>
      <c r="B22" s="2"/>
      <c r="C22" s="2"/>
      <c r="D22" s="2"/>
      <c r="E22" s="2"/>
      <c r="F22" s="2"/>
      <c r="G22" s="2"/>
      <c r="H22" s="2"/>
    </row>
    <row r="23" spans="1:8">
      <c r="A23" s="2"/>
      <c r="B23" s="2"/>
      <c r="C23" s="2"/>
      <c r="D23" s="2"/>
      <c r="E23" s="2"/>
      <c r="F23" s="2"/>
      <c r="G23" s="2"/>
      <c r="H23" s="2"/>
    </row>
    <row r="24" spans="1:8">
      <c r="A24" s="2"/>
      <c r="B24" s="2"/>
      <c r="C24" s="2"/>
      <c r="D24" s="2"/>
      <c r="E24" s="2"/>
      <c r="F24" s="2"/>
      <c r="G24" s="2"/>
      <c r="H24" s="2"/>
    </row>
    <row r="25" spans="1:8">
      <c r="A25" s="2"/>
      <c r="B25" s="2"/>
      <c r="C25" s="2"/>
      <c r="D25" s="2"/>
      <c r="E25" s="2"/>
      <c r="F25" s="2"/>
      <c r="G25" s="2"/>
      <c r="H25" s="2"/>
    </row>
  </sheetData>
  <mergeCells count="2">
    <mergeCell ref="A1:H1"/>
    <mergeCell ref="E3:E6"/>
  </mergeCells>
  <pageMargins left="0.75" right="0.75" top="1" bottom="1" header="0.511805555555556" footer="0.511805555555556"/>
  <pageSetup paperSize="9"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9"/>
  <sheetViews>
    <sheetView workbookViewId="0">
      <selection activeCell="B14" sqref="B14"/>
    </sheetView>
  </sheetViews>
  <sheetFormatPr defaultColWidth="9" defaultRowHeight="14.25"/>
  <cols>
    <col min="1" max="1" width="6.875" customWidth="1"/>
    <col min="2" max="2" width="29.25" customWidth="1"/>
    <col min="3" max="3" width="23" customWidth="1"/>
    <col min="4" max="4" width="8.875" customWidth="1"/>
    <col min="5" max="9" width="23" customWidth="1"/>
  </cols>
  <sheetData>
    <row r="1" ht="20.25" spans="1:9">
      <c r="A1" s="1" t="s">
        <v>1662</v>
      </c>
      <c r="B1" s="1"/>
      <c r="C1" s="1"/>
      <c r="D1" s="1"/>
      <c r="E1" s="1"/>
      <c r="F1" s="1"/>
      <c r="G1" s="1"/>
      <c r="H1" s="1"/>
      <c r="I1" s="1"/>
    </row>
    <row r="2" spans="1:9">
      <c r="A2" s="2" t="s">
        <v>1</v>
      </c>
      <c r="B2" s="2" t="s">
        <v>2</v>
      </c>
      <c r="C2" s="2" t="s">
        <v>1578</v>
      </c>
      <c r="D2" s="2" t="s">
        <v>4</v>
      </c>
      <c r="E2" s="2" t="s">
        <v>1579</v>
      </c>
      <c r="F2" s="2" t="s">
        <v>1580</v>
      </c>
      <c r="G2" s="2" t="s">
        <v>1663</v>
      </c>
      <c r="H2" s="2" t="s">
        <v>1581</v>
      </c>
      <c r="I2" s="2" t="s">
        <v>1582</v>
      </c>
    </row>
    <row r="3" spans="1:9">
      <c r="A3" s="2">
        <v>1</v>
      </c>
      <c r="B3" s="2" t="s">
        <v>1644</v>
      </c>
      <c r="C3" s="2" t="s">
        <v>1664</v>
      </c>
      <c r="D3" s="2">
        <v>5</v>
      </c>
      <c r="E3" s="27" t="s">
        <v>1665</v>
      </c>
      <c r="F3" s="2" t="s">
        <v>1649</v>
      </c>
      <c r="G3" s="2" t="s">
        <v>1666</v>
      </c>
      <c r="H3" s="2" t="s">
        <v>1667</v>
      </c>
      <c r="I3" s="2"/>
    </row>
    <row r="4" spans="1:9">
      <c r="A4" s="2">
        <v>2</v>
      </c>
      <c r="B4" s="2" t="s">
        <v>1644</v>
      </c>
      <c r="C4" s="2" t="s">
        <v>1668</v>
      </c>
      <c r="D4" s="2">
        <v>5</v>
      </c>
      <c r="E4" s="29"/>
      <c r="F4" s="2" t="s">
        <v>1647</v>
      </c>
      <c r="G4" s="2" t="s">
        <v>1666</v>
      </c>
      <c r="H4" s="2" t="s">
        <v>1669</v>
      </c>
      <c r="I4" s="2"/>
    </row>
    <row r="5" spans="1:9">
      <c r="A5" s="2">
        <v>3</v>
      </c>
      <c r="B5" s="2" t="s">
        <v>1670</v>
      </c>
      <c r="C5" s="2" t="s">
        <v>1671</v>
      </c>
      <c r="D5" s="2">
        <v>5</v>
      </c>
      <c r="E5" s="29"/>
      <c r="F5" s="2" t="s">
        <v>1672</v>
      </c>
      <c r="G5" s="2" t="s">
        <v>1673</v>
      </c>
      <c r="H5" s="2" t="s">
        <v>1674</v>
      </c>
      <c r="I5" s="2"/>
    </row>
    <row r="6" spans="1:9">
      <c r="A6" s="2">
        <v>4</v>
      </c>
      <c r="B6" s="2" t="s">
        <v>1548</v>
      </c>
      <c r="C6" s="2" t="s">
        <v>1675</v>
      </c>
      <c r="D6" s="2"/>
      <c r="E6" s="29"/>
      <c r="F6" s="2" t="s">
        <v>1676</v>
      </c>
      <c r="G6" s="2" t="s">
        <v>1677</v>
      </c>
      <c r="H6" s="2" t="s">
        <v>1678</v>
      </c>
      <c r="I6" s="2"/>
    </row>
    <row r="7" spans="1:9">
      <c r="A7" s="2">
        <v>5</v>
      </c>
      <c r="B7" s="2" t="s">
        <v>1591</v>
      </c>
      <c r="C7" s="2" t="s">
        <v>1679</v>
      </c>
      <c r="D7" s="2"/>
      <c r="E7" s="29"/>
      <c r="F7" s="2" t="s">
        <v>1593</v>
      </c>
      <c r="G7" s="2" t="s">
        <v>1677</v>
      </c>
      <c r="H7" s="2" t="s">
        <v>1680</v>
      </c>
      <c r="I7" s="2"/>
    </row>
    <row r="8" spans="1:9">
      <c r="A8" s="2"/>
      <c r="B8" s="6" t="s">
        <v>1655</v>
      </c>
      <c r="C8" s="2"/>
      <c r="D8" s="2">
        <v>5</v>
      </c>
      <c r="E8" s="34" t="s">
        <v>1681</v>
      </c>
      <c r="F8" s="6" t="s">
        <v>1682</v>
      </c>
      <c r="G8" s="6"/>
      <c r="H8" s="2" t="s">
        <v>1683</v>
      </c>
      <c r="I8" s="2"/>
    </row>
    <row r="9" spans="1:9">
      <c r="A9" s="2">
        <v>1</v>
      </c>
      <c r="B9" s="2" t="s">
        <v>1644</v>
      </c>
      <c r="C9" s="2" t="s">
        <v>1684</v>
      </c>
      <c r="D9" s="2">
        <v>5</v>
      </c>
      <c r="E9" s="27" t="s">
        <v>1685</v>
      </c>
      <c r="F9" s="2" t="s">
        <v>1686</v>
      </c>
      <c r="G9" s="2" t="s">
        <v>916</v>
      </c>
      <c r="H9" s="2" t="s">
        <v>924</v>
      </c>
      <c r="I9" s="2"/>
    </row>
    <row r="10" spans="1:9">
      <c r="A10" s="2">
        <v>2</v>
      </c>
      <c r="B10" s="2" t="s">
        <v>1644</v>
      </c>
      <c r="C10" s="2" t="s">
        <v>1687</v>
      </c>
      <c r="D10" s="2">
        <v>5</v>
      </c>
      <c r="E10" s="29"/>
      <c r="F10" s="2" t="s">
        <v>1688</v>
      </c>
      <c r="G10" s="2" t="s">
        <v>916</v>
      </c>
      <c r="H10" s="2" t="s">
        <v>362</v>
      </c>
      <c r="I10" s="2"/>
    </row>
    <row r="11" spans="1:9">
      <c r="A11" s="2">
        <v>3</v>
      </c>
      <c r="B11" s="2" t="s">
        <v>1548</v>
      </c>
      <c r="C11" s="2" t="s">
        <v>1689</v>
      </c>
      <c r="D11" s="2">
        <v>5</v>
      </c>
      <c r="E11" s="29"/>
      <c r="F11" s="2" t="s">
        <v>1676</v>
      </c>
      <c r="G11" s="2" t="s">
        <v>1690</v>
      </c>
      <c r="H11" s="2" t="s">
        <v>1691</v>
      </c>
      <c r="I11" s="2"/>
    </row>
    <row r="12" spans="1:9">
      <c r="A12" s="2">
        <v>4</v>
      </c>
      <c r="B12" s="2" t="s">
        <v>1550</v>
      </c>
      <c r="C12" s="2" t="s">
        <v>1692</v>
      </c>
      <c r="D12" s="2">
        <v>5</v>
      </c>
      <c r="E12" s="29"/>
      <c r="F12" s="2" t="s">
        <v>1652</v>
      </c>
      <c r="G12" s="2" t="s">
        <v>1693</v>
      </c>
      <c r="H12" s="2" t="s">
        <v>357</v>
      </c>
      <c r="I12" s="2"/>
    </row>
    <row r="13" spans="1:9">
      <c r="A13" s="2">
        <v>5</v>
      </c>
      <c r="B13" s="2" t="s">
        <v>1591</v>
      </c>
      <c r="C13" s="2" t="s">
        <v>1694</v>
      </c>
      <c r="D13" s="2">
        <v>5</v>
      </c>
      <c r="E13" s="29"/>
      <c r="F13" s="2" t="s">
        <v>1593</v>
      </c>
      <c r="G13" s="2" t="s">
        <v>1693</v>
      </c>
      <c r="H13" s="2" t="s">
        <v>914</v>
      </c>
      <c r="I13" s="2"/>
    </row>
    <row r="14" spans="1:9">
      <c r="A14" s="2">
        <v>6</v>
      </c>
      <c r="B14" s="2" t="s">
        <v>1695</v>
      </c>
      <c r="C14" s="2" t="s">
        <v>1696</v>
      </c>
      <c r="D14" s="2">
        <v>5</v>
      </c>
      <c r="E14" s="32"/>
      <c r="F14" s="2"/>
      <c r="G14" s="2" t="s">
        <v>1666</v>
      </c>
      <c r="H14" s="2" t="s">
        <v>539</v>
      </c>
      <c r="I14" s="2"/>
    </row>
    <row r="15" ht="28.5" spans="1:9">
      <c r="A15" s="2"/>
      <c r="B15" s="3" t="s">
        <v>1659</v>
      </c>
      <c r="C15" s="2"/>
      <c r="D15" s="2">
        <v>5</v>
      </c>
      <c r="E15" s="2"/>
      <c r="F15" s="2"/>
      <c r="G15" s="2"/>
      <c r="H15" s="2"/>
      <c r="I15" s="2"/>
    </row>
    <row r="16" spans="1:9">
      <c r="A16" s="2"/>
      <c r="B16" s="3" t="s">
        <v>1660</v>
      </c>
      <c r="C16" s="2"/>
      <c r="D16" s="2">
        <v>3</v>
      </c>
      <c r="E16" s="2"/>
      <c r="F16" s="2"/>
      <c r="G16" s="2"/>
      <c r="H16" s="2"/>
      <c r="I16" s="2"/>
    </row>
    <row r="17" spans="1:9">
      <c r="A17" s="2"/>
      <c r="B17" s="2" t="s">
        <v>1661</v>
      </c>
      <c r="C17" s="2"/>
      <c r="D17" s="2">
        <v>5</v>
      </c>
      <c r="E17" s="2"/>
      <c r="F17" s="2"/>
      <c r="G17" s="2"/>
      <c r="H17" s="2"/>
      <c r="I17" s="2"/>
    </row>
    <row r="18" spans="1:9">
      <c r="A18" s="2"/>
      <c r="B18" s="2"/>
      <c r="C18" s="2"/>
      <c r="D18" s="2"/>
      <c r="E18" s="2"/>
      <c r="F18" s="2"/>
      <c r="G18" s="2"/>
      <c r="H18" s="2"/>
      <c r="I18" s="2"/>
    </row>
    <row r="19" spans="1:9">
      <c r="A19" s="2"/>
      <c r="B19" s="2"/>
      <c r="C19" s="2"/>
      <c r="D19" s="2"/>
      <c r="E19" s="2"/>
      <c r="F19" s="2"/>
      <c r="G19" s="2"/>
      <c r="H19" s="2"/>
      <c r="I19" s="2"/>
    </row>
    <row r="20" spans="1:9">
      <c r="A20" s="2"/>
      <c r="B20" s="2"/>
      <c r="C20" s="2"/>
      <c r="D20" s="2"/>
      <c r="E20" s="2"/>
      <c r="F20" s="2"/>
      <c r="G20" s="2"/>
      <c r="H20" s="2"/>
      <c r="I20" s="2"/>
    </row>
    <row r="21" spans="1:9">
      <c r="A21" s="2"/>
      <c r="B21" s="2"/>
      <c r="C21" s="2"/>
      <c r="D21" s="2"/>
      <c r="E21" s="2"/>
      <c r="F21" s="2"/>
      <c r="G21" s="2"/>
      <c r="H21" s="2"/>
      <c r="I21" s="2"/>
    </row>
    <row r="22" spans="1:9">
      <c r="A22" s="2"/>
      <c r="B22" s="2"/>
      <c r="C22" s="2"/>
      <c r="D22" s="2"/>
      <c r="E22" s="2"/>
      <c r="F22" s="2"/>
      <c r="G22" s="2"/>
      <c r="H22" s="2"/>
      <c r="I22" s="2"/>
    </row>
    <row r="23" spans="1:9">
      <c r="A23" s="2"/>
      <c r="B23" s="2"/>
      <c r="C23" s="2"/>
      <c r="D23" s="2"/>
      <c r="E23" s="2"/>
      <c r="F23" s="2"/>
      <c r="G23" s="2"/>
      <c r="H23" s="2"/>
      <c r="I23" s="2"/>
    </row>
    <row r="24" spans="1:9">
      <c r="A24" s="2"/>
      <c r="B24" s="2"/>
      <c r="C24" s="2"/>
      <c r="D24" s="2"/>
      <c r="E24" s="2"/>
      <c r="F24" s="2"/>
      <c r="G24" s="2"/>
      <c r="H24" s="2"/>
      <c r="I24" s="2"/>
    </row>
    <row r="25" spans="1:9">
      <c r="A25" s="2"/>
      <c r="B25" s="2"/>
      <c r="C25" s="2"/>
      <c r="D25" s="2"/>
      <c r="E25" s="2"/>
      <c r="F25" s="2"/>
      <c r="G25" s="2"/>
      <c r="H25" s="2"/>
      <c r="I25" s="2"/>
    </row>
    <row r="26" spans="1:9">
      <c r="A26" s="2"/>
      <c r="B26" s="2"/>
      <c r="C26" s="2"/>
      <c r="D26" s="2"/>
      <c r="E26" s="2"/>
      <c r="F26" s="2"/>
      <c r="G26" s="2"/>
      <c r="H26" s="2"/>
      <c r="I26" s="2"/>
    </row>
    <row r="27" spans="1:9">
      <c r="A27" s="2"/>
      <c r="B27" s="2"/>
      <c r="C27" s="2"/>
      <c r="D27" s="2"/>
      <c r="E27" s="2"/>
      <c r="F27" s="2"/>
      <c r="G27" s="2"/>
      <c r="H27" s="2"/>
      <c r="I27" s="2"/>
    </row>
    <row r="28" spans="1:9">
      <c r="A28" s="2"/>
      <c r="B28" s="2"/>
      <c r="C28" s="2"/>
      <c r="D28" s="2"/>
      <c r="E28" s="2"/>
      <c r="F28" s="2"/>
      <c r="G28" s="2"/>
      <c r="H28" s="2"/>
      <c r="I28" s="2"/>
    </row>
    <row r="29" spans="1:9">
      <c r="A29" s="2"/>
      <c r="B29" s="2"/>
      <c r="C29" s="2"/>
      <c r="D29" s="2"/>
      <c r="E29" s="2"/>
      <c r="F29" s="2"/>
      <c r="G29" s="2"/>
      <c r="H29" s="2"/>
      <c r="I29" s="2"/>
    </row>
  </sheetData>
  <mergeCells count="3">
    <mergeCell ref="A1:I1"/>
    <mergeCell ref="E3:E7"/>
    <mergeCell ref="E9:E14"/>
  </mergeCells>
  <pageMargins left="0.75" right="0.75" top="1" bottom="1" header="0.511805555555556" footer="0.511805555555556"/>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C19" sqref="C19"/>
    </sheetView>
  </sheetViews>
  <sheetFormatPr defaultColWidth="9" defaultRowHeight="14.25"/>
  <cols>
    <col min="2" max="2" width="29.375" customWidth="1"/>
    <col min="3" max="3" width="12.125" customWidth="1"/>
    <col min="5" max="5" width="16.75" customWidth="1"/>
    <col min="7" max="7" width="18.25" customWidth="1"/>
    <col min="8" max="8" width="26.375" customWidth="1"/>
    <col min="9" max="9" width="10.375"/>
  </cols>
  <sheetData>
    <row r="1" ht="20.25" spans="1:8">
      <c r="A1" s="1" t="s">
        <v>1697</v>
      </c>
      <c r="B1" s="1"/>
      <c r="C1" s="1"/>
      <c r="D1" s="1"/>
      <c r="E1" s="1"/>
      <c r="F1" s="1"/>
      <c r="G1" s="1"/>
      <c r="H1" s="1"/>
    </row>
    <row r="2" spans="1:9">
      <c r="A2" s="2" t="s">
        <v>1</v>
      </c>
      <c r="B2" s="2" t="s">
        <v>2</v>
      </c>
      <c r="C2" s="2" t="s">
        <v>1578</v>
      </c>
      <c r="D2" s="2" t="s">
        <v>4</v>
      </c>
      <c r="E2" s="2" t="s">
        <v>1579</v>
      </c>
      <c r="F2" s="2" t="s">
        <v>1580</v>
      </c>
      <c r="G2" s="2" t="s">
        <v>1581</v>
      </c>
      <c r="H2" s="2" t="s">
        <v>1582</v>
      </c>
      <c r="I2" s="13" t="s">
        <v>1583</v>
      </c>
    </row>
    <row r="3" spans="1:9">
      <c r="A3" s="2">
        <v>1</v>
      </c>
      <c r="B3" s="2"/>
      <c r="C3" s="2"/>
      <c r="D3" s="2"/>
      <c r="E3" s="4"/>
      <c r="F3" s="2"/>
      <c r="G3" s="2"/>
      <c r="H3" s="2"/>
      <c r="I3" s="14"/>
    </row>
    <row r="4" spans="1:9">
      <c r="A4" s="2">
        <v>2</v>
      </c>
      <c r="B4" s="2"/>
      <c r="C4" s="2"/>
      <c r="D4" s="2"/>
      <c r="E4" s="4"/>
      <c r="F4" s="2"/>
      <c r="G4" s="2"/>
      <c r="H4" s="2"/>
      <c r="I4" s="13"/>
    </row>
    <row r="5" spans="1:9">
      <c r="A5" s="2">
        <v>3</v>
      </c>
      <c r="B5" s="2"/>
      <c r="C5" s="2"/>
      <c r="D5" s="2"/>
      <c r="E5" s="4"/>
      <c r="F5" s="2"/>
      <c r="G5" s="2"/>
      <c r="H5" s="2"/>
      <c r="I5" s="13"/>
    </row>
    <row r="6" spans="1:9">
      <c r="A6" s="2">
        <v>4</v>
      </c>
      <c r="B6" s="2"/>
      <c r="C6" s="2"/>
      <c r="D6" s="2"/>
      <c r="E6" s="4"/>
      <c r="F6" s="2"/>
      <c r="G6" s="2"/>
      <c r="H6" s="2"/>
      <c r="I6" s="13"/>
    </row>
    <row r="7" spans="1:9">
      <c r="A7" s="2">
        <v>5</v>
      </c>
      <c r="B7" s="5"/>
      <c r="C7" s="5"/>
      <c r="D7" s="5"/>
      <c r="E7" s="5"/>
      <c r="F7" s="5"/>
      <c r="G7" s="5"/>
      <c r="H7" s="5"/>
      <c r="I7" s="13"/>
    </row>
    <row r="8" spans="1:9">
      <c r="A8" s="6">
        <v>6</v>
      </c>
      <c r="B8" s="6"/>
      <c r="C8" s="6"/>
      <c r="D8" s="6"/>
      <c r="E8" s="6"/>
      <c r="F8" s="6"/>
      <c r="G8" s="6"/>
      <c r="H8" s="6"/>
      <c r="I8" s="13"/>
    </row>
    <row r="9" spans="1:9">
      <c r="A9" s="2">
        <v>7</v>
      </c>
      <c r="B9" s="3"/>
      <c r="C9" s="2"/>
      <c r="D9" s="2"/>
      <c r="E9" s="2"/>
      <c r="F9" s="2"/>
      <c r="G9" s="2"/>
      <c r="H9" s="2"/>
      <c r="I9" s="13"/>
    </row>
    <row r="10" spans="1:9">
      <c r="A10" s="2">
        <v>8</v>
      </c>
      <c r="B10" s="3"/>
      <c r="C10" s="2"/>
      <c r="D10" s="2"/>
      <c r="E10" s="2"/>
      <c r="F10" s="2"/>
      <c r="G10" s="2"/>
      <c r="H10" s="2"/>
      <c r="I10" s="13"/>
    </row>
    <row r="11" spans="1:9">
      <c r="A11" s="2">
        <v>9</v>
      </c>
      <c r="B11" s="2"/>
      <c r="C11" s="2"/>
      <c r="D11" s="2"/>
      <c r="E11" s="2"/>
      <c r="F11" s="2"/>
      <c r="G11" s="2"/>
      <c r="H11" s="2"/>
      <c r="I11" s="13"/>
    </row>
    <row r="12" spans="1:9">
      <c r="A12" s="2">
        <v>10</v>
      </c>
      <c r="B12" s="2"/>
      <c r="C12" s="2"/>
      <c r="D12" s="2"/>
      <c r="E12" s="2"/>
      <c r="F12" s="2"/>
      <c r="G12" s="2"/>
      <c r="H12" s="2"/>
      <c r="I12" s="13"/>
    </row>
    <row r="13" spans="1:9">
      <c r="A13" s="2"/>
      <c r="B13" s="2"/>
      <c r="C13" s="2"/>
      <c r="D13" s="2"/>
      <c r="E13" s="2"/>
      <c r="F13" s="2"/>
      <c r="G13" s="2"/>
      <c r="H13" s="2"/>
      <c r="I13" s="13"/>
    </row>
    <row r="14" spans="1:9">
      <c r="A14" s="2"/>
      <c r="B14" s="2"/>
      <c r="C14" s="2"/>
      <c r="D14" s="2"/>
      <c r="E14" s="2"/>
      <c r="F14" s="2"/>
      <c r="G14" s="2"/>
      <c r="H14" s="2"/>
      <c r="I14" s="13"/>
    </row>
    <row r="15" spans="1:9">
      <c r="A15" s="2"/>
      <c r="B15" s="2"/>
      <c r="C15" s="2"/>
      <c r="D15" s="2"/>
      <c r="E15" s="2"/>
      <c r="F15" s="2"/>
      <c r="G15" s="2"/>
      <c r="H15" s="2"/>
      <c r="I15" s="13"/>
    </row>
    <row r="16" spans="1:9">
      <c r="A16" s="2"/>
      <c r="B16" s="2"/>
      <c r="C16" s="2"/>
      <c r="D16" s="2"/>
      <c r="E16" s="2"/>
      <c r="F16" s="2"/>
      <c r="G16" s="2"/>
      <c r="H16" s="2"/>
      <c r="I16" s="13"/>
    </row>
    <row r="17" spans="1:9">
      <c r="A17" s="2"/>
      <c r="B17" s="2"/>
      <c r="C17" s="2"/>
      <c r="D17" s="2"/>
      <c r="E17" s="2"/>
      <c r="F17" s="2"/>
      <c r="G17" s="2"/>
      <c r="H17" s="2"/>
      <c r="I17" s="13"/>
    </row>
    <row r="18" spans="1:9">
      <c r="A18" s="2"/>
      <c r="B18" s="2"/>
      <c r="C18" s="2"/>
      <c r="D18" s="2"/>
      <c r="E18" s="2"/>
      <c r="F18" s="2"/>
      <c r="G18" s="2"/>
      <c r="H18" s="2"/>
      <c r="I18" s="13"/>
    </row>
    <row r="19" spans="1:9">
      <c r="A19" s="2"/>
      <c r="B19" s="2"/>
      <c r="C19" s="2"/>
      <c r="D19" s="2"/>
      <c r="E19" s="2"/>
      <c r="F19" s="2"/>
      <c r="G19" s="2"/>
      <c r="H19" s="2"/>
      <c r="I19" s="13"/>
    </row>
    <row r="20" spans="1:9">
      <c r="A20" s="2"/>
      <c r="B20" s="2"/>
      <c r="C20" s="2"/>
      <c r="D20" s="2"/>
      <c r="E20" s="2"/>
      <c r="F20" s="2"/>
      <c r="G20" s="2"/>
      <c r="H20" s="2"/>
      <c r="I20" s="13"/>
    </row>
  </sheetData>
  <mergeCells count="1">
    <mergeCell ref="A1:H1"/>
  </mergeCells>
  <pageMargins left="0.75" right="0.75" top="1" bottom="1" header="0.511805555555556" footer="0.511805555555556"/>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B5" sqref="B5:H5"/>
    </sheetView>
  </sheetViews>
  <sheetFormatPr defaultColWidth="9" defaultRowHeight="14.25"/>
  <cols>
    <col min="2" max="2" width="29.375" customWidth="1"/>
    <col min="3" max="3" width="12.125" customWidth="1"/>
    <col min="5" max="5" width="16.75" customWidth="1"/>
    <col min="7" max="7" width="18.25" customWidth="1"/>
    <col min="8" max="8" width="26.375" customWidth="1"/>
    <col min="9" max="9" width="10.375"/>
  </cols>
  <sheetData>
    <row r="1" ht="20.25" spans="1:8">
      <c r="A1" s="1" t="s">
        <v>1698</v>
      </c>
      <c r="B1" s="1"/>
      <c r="C1" s="1"/>
      <c r="D1" s="1"/>
      <c r="E1" s="1"/>
      <c r="F1" s="1"/>
      <c r="G1" s="1"/>
      <c r="H1" s="1"/>
    </row>
    <row r="2" spans="1:9">
      <c r="A2" s="2" t="s">
        <v>1</v>
      </c>
      <c r="B2" s="2" t="s">
        <v>2</v>
      </c>
      <c r="C2" s="2" t="s">
        <v>1578</v>
      </c>
      <c r="D2" s="2" t="s">
        <v>4</v>
      </c>
      <c r="E2" s="2" t="s">
        <v>1579</v>
      </c>
      <c r="F2" s="2" t="s">
        <v>1580</v>
      </c>
      <c r="G2" s="2" t="s">
        <v>1581</v>
      </c>
      <c r="H2" s="2" t="s">
        <v>1582</v>
      </c>
      <c r="I2" s="13" t="s">
        <v>1583</v>
      </c>
    </row>
    <row r="3" spans="1:9">
      <c r="A3" s="2">
        <v>1</v>
      </c>
      <c r="B3" s="2" t="s">
        <v>1699</v>
      </c>
      <c r="C3" s="2" t="s">
        <v>1700</v>
      </c>
      <c r="D3" s="2"/>
      <c r="E3" s="4"/>
      <c r="F3" s="2"/>
      <c r="G3" s="2"/>
      <c r="H3" s="2"/>
      <c r="I3" s="14"/>
    </row>
    <row r="4" ht="33" customHeight="1" spans="1:9">
      <c r="A4" s="2">
        <v>2</v>
      </c>
      <c r="B4" s="2" t="s">
        <v>1550</v>
      </c>
      <c r="C4" s="3" t="s">
        <v>1701</v>
      </c>
      <c r="D4" s="2" t="s">
        <v>1589</v>
      </c>
      <c r="E4" s="4"/>
      <c r="F4" s="2" t="s">
        <v>1590</v>
      </c>
      <c r="G4" s="2" t="s">
        <v>1060</v>
      </c>
      <c r="H4" s="2" t="s">
        <v>645</v>
      </c>
      <c r="I4" s="13"/>
    </row>
    <row r="5" spans="1:9">
      <c r="A5" s="2">
        <v>3</v>
      </c>
      <c r="B5" s="2" t="s">
        <v>1591</v>
      </c>
      <c r="C5" s="2" t="s">
        <v>1702</v>
      </c>
      <c r="D5" s="2" t="s">
        <v>1589</v>
      </c>
      <c r="E5" s="4"/>
      <c r="F5" s="2" t="s">
        <v>1593</v>
      </c>
      <c r="G5" s="2" t="s">
        <v>1594</v>
      </c>
      <c r="H5" s="2" t="s">
        <v>645</v>
      </c>
      <c r="I5" s="13"/>
    </row>
    <row r="6" spans="1:9">
      <c r="A6" s="2">
        <v>4</v>
      </c>
      <c r="B6" s="2"/>
      <c r="C6" s="2"/>
      <c r="D6" s="2"/>
      <c r="E6" s="4"/>
      <c r="F6" s="2"/>
      <c r="G6" s="2"/>
      <c r="H6" s="2"/>
      <c r="I6" s="13"/>
    </row>
    <row r="7" spans="1:9">
      <c r="A7" s="2">
        <v>5</v>
      </c>
      <c r="B7" s="5"/>
      <c r="C7" s="5"/>
      <c r="D7" s="5"/>
      <c r="E7" s="5"/>
      <c r="F7" s="5"/>
      <c r="G7" s="5"/>
      <c r="H7" s="5"/>
      <c r="I7" s="13"/>
    </row>
    <row r="8" spans="1:9">
      <c r="A8" s="6">
        <v>6</v>
      </c>
      <c r="B8" s="6"/>
      <c r="C8" s="6"/>
      <c r="D8" s="6"/>
      <c r="E8" s="6"/>
      <c r="F8" s="6"/>
      <c r="G8" s="6"/>
      <c r="H8" s="6"/>
      <c r="I8" s="13"/>
    </row>
    <row r="9" spans="1:9">
      <c r="A9" s="2">
        <v>7</v>
      </c>
      <c r="B9" s="3"/>
      <c r="C9" s="2"/>
      <c r="D9" s="2"/>
      <c r="E9" s="2"/>
      <c r="F9" s="2"/>
      <c r="G9" s="2"/>
      <c r="H9" s="2"/>
      <c r="I9" s="13"/>
    </row>
    <row r="10" spans="1:9">
      <c r="A10" s="2">
        <v>8</v>
      </c>
      <c r="B10" s="3"/>
      <c r="C10" s="2"/>
      <c r="D10" s="2"/>
      <c r="E10" s="2"/>
      <c r="F10" s="2"/>
      <c r="G10" s="2"/>
      <c r="H10" s="2"/>
      <c r="I10" s="13"/>
    </row>
    <row r="11" spans="1:9">
      <c r="A11" s="2">
        <v>9</v>
      </c>
      <c r="B11" s="2"/>
      <c r="C11" s="2"/>
      <c r="D11" s="2"/>
      <c r="E11" s="2"/>
      <c r="F11" s="2"/>
      <c r="G11" s="2"/>
      <c r="H11" s="2"/>
      <c r="I11" s="13"/>
    </row>
    <row r="12" spans="1:9">
      <c r="A12" s="2">
        <v>10</v>
      </c>
      <c r="B12" s="2"/>
      <c r="C12" s="2"/>
      <c r="D12" s="2"/>
      <c r="E12" s="2"/>
      <c r="F12" s="2"/>
      <c r="G12" s="2"/>
      <c r="H12" s="2"/>
      <c r="I12" s="13"/>
    </row>
    <row r="13" spans="1:9">
      <c r="A13" s="2"/>
      <c r="B13" s="2"/>
      <c r="C13" s="2"/>
      <c r="D13" s="2"/>
      <c r="E13" s="2"/>
      <c r="F13" s="2"/>
      <c r="G13" s="2"/>
      <c r="H13" s="2"/>
      <c r="I13" s="13"/>
    </row>
    <row r="14" spans="1:9">
      <c r="A14" s="2"/>
      <c r="B14" s="2"/>
      <c r="C14" s="2"/>
      <c r="D14" s="2"/>
      <c r="E14" s="2"/>
      <c r="F14" s="2"/>
      <c r="G14" s="2"/>
      <c r="H14" s="2"/>
      <c r="I14" s="13"/>
    </row>
    <row r="15" spans="1:9">
      <c r="A15" s="2"/>
      <c r="B15" s="2"/>
      <c r="C15" s="2"/>
      <c r="D15" s="2"/>
      <c r="E15" s="2"/>
      <c r="F15" s="2"/>
      <c r="G15" s="2"/>
      <c r="H15" s="2"/>
      <c r="I15" s="13"/>
    </row>
    <row r="16" spans="1:9">
      <c r="A16" s="2"/>
      <c r="B16" s="2"/>
      <c r="C16" s="2"/>
      <c r="D16" s="2"/>
      <c r="E16" s="2"/>
      <c r="F16" s="2"/>
      <c r="G16" s="2"/>
      <c r="H16" s="2"/>
      <c r="I16" s="13"/>
    </row>
    <row r="17" spans="1:9">
      <c r="A17" s="2"/>
      <c r="B17" s="2"/>
      <c r="C17" s="2"/>
      <c r="D17" s="2"/>
      <c r="E17" s="2"/>
      <c r="F17" s="2"/>
      <c r="G17" s="2"/>
      <c r="H17" s="2"/>
      <c r="I17" s="13"/>
    </row>
    <row r="18" spans="1:9">
      <c r="A18" s="2"/>
      <c r="B18" s="2"/>
      <c r="C18" s="2"/>
      <c r="D18" s="2"/>
      <c r="E18" s="2"/>
      <c r="F18" s="2"/>
      <c r="G18" s="2"/>
      <c r="H18" s="2"/>
      <c r="I18" s="13"/>
    </row>
    <row r="19" spans="1:9">
      <c r="A19" s="2"/>
      <c r="B19" s="2"/>
      <c r="C19" s="2"/>
      <c r="D19" s="2"/>
      <c r="E19" s="2"/>
      <c r="F19" s="2"/>
      <c r="G19" s="2"/>
      <c r="H19" s="2"/>
      <c r="I19" s="13"/>
    </row>
    <row r="20" spans="1:9">
      <c r="A20" s="2"/>
      <c r="B20" s="2"/>
      <c r="C20" s="2"/>
      <c r="D20" s="2"/>
      <c r="E20" s="2"/>
      <c r="F20" s="2"/>
      <c r="G20" s="2"/>
      <c r="H20" s="2"/>
      <c r="I20" s="13"/>
    </row>
  </sheetData>
  <mergeCells count="1">
    <mergeCell ref="A1:H1"/>
  </mergeCells>
  <pageMargins left="0.75" right="0.75" top="1" bottom="1" header="0.511805555555556" footer="0.511805555555556"/>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2"/>
  <sheetViews>
    <sheetView topLeftCell="C13" workbookViewId="0">
      <selection activeCell="I32" sqref="I32"/>
    </sheetView>
  </sheetViews>
  <sheetFormatPr defaultColWidth="9" defaultRowHeight="14.25"/>
  <cols>
    <col min="2" max="2" width="31.875" customWidth="1"/>
    <col min="3" max="3" width="22.5" customWidth="1"/>
    <col min="5" max="5" width="25.875" customWidth="1"/>
    <col min="6" max="6" width="22.375" customWidth="1"/>
    <col min="7" max="9" width="16.875" customWidth="1"/>
    <col min="10" max="10" width="12" customWidth="1"/>
    <col min="11" max="11" width="13.625" customWidth="1"/>
  </cols>
  <sheetData>
    <row r="1" ht="20.25" spans="1:9">
      <c r="A1" s="1" t="s">
        <v>1703</v>
      </c>
      <c r="B1" s="1"/>
      <c r="C1" s="1"/>
      <c r="D1" s="1"/>
      <c r="E1" s="1"/>
      <c r="F1" s="1"/>
      <c r="G1" s="1"/>
      <c r="H1" s="1"/>
      <c r="I1" s="1"/>
    </row>
    <row r="2" spans="1:11">
      <c r="A2" s="2" t="s">
        <v>1</v>
      </c>
      <c r="B2" s="2" t="s">
        <v>2</v>
      </c>
      <c r="C2" s="2" t="s">
        <v>1578</v>
      </c>
      <c r="D2" s="2" t="s">
        <v>4</v>
      </c>
      <c r="E2" s="2" t="s">
        <v>1579</v>
      </c>
      <c r="F2" s="2" t="s">
        <v>1580</v>
      </c>
      <c r="G2" s="2" t="s">
        <v>1663</v>
      </c>
      <c r="H2" s="2" t="s">
        <v>1581</v>
      </c>
      <c r="I2" s="2" t="s">
        <v>1582</v>
      </c>
      <c r="J2" t="s">
        <v>60</v>
      </c>
      <c r="K2" t="s">
        <v>61</v>
      </c>
    </row>
    <row r="3" spans="1:9">
      <c r="A3" s="2">
        <v>1</v>
      </c>
      <c r="B3" s="2" t="s">
        <v>1704</v>
      </c>
      <c r="C3" s="2"/>
      <c r="D3" s="2">
        <v>6</v>
      </c>
      <c r="E3" s="2"/>
      <c r="F3" s="2"/>
      <c r="G3" s="2"/>
      <c r="H3" s="2"/>
      <c r="I3" s="2"/>
    </row>
    <row r="4" spans="1:11">
      <c r="A4" s="2">
        <v>2</v>
      </c>
      <c r="B4" s="27" t="s">
        <v>1644</v>
      </c>
      <c r="C4" s="2" t="s">
        <v>1705</v>
      </c>
      <c r="D4" s="2">
        <v>5</v>
      </c>
      <c r="E4" s="2" t="s">
        <v>1706</v>
      </c>
      <c r="F4" s="6" t="s">
        <v>1707</v>
      </c>
      <c r="G4" s="2" t="s">
        <v>1708</v>
      </c>
      <c r="H4" s="28" t="s">
        <v>1709</v>
      </c>
      <c r="I4" s="28" t="s">
        <v>1710</v>
      </c>
      <c r="J4" s="13"/>
      <c r="K4" s="13"/>
    </row>
    <row r="5" spans="1:11">
      <c r="A5" s="2">
        <v>3</v>
      </c>
      <c r="B5" s="29"/>
      <c r="C5" s="2"/>
      <c r="D5" s="2"/>
      <c r="E5" s="2"/>
      <c r="F5" s="6" t="s">
        <v>1711</v>
      </c>
      <c r="G5" s="2" t="s">
        <v>1708</v>
      </c>
      <c r="H5" s="28" t="s">
        <v>1712</v>
      </c>
      <c r="I5" s="28" t="s">
        <v>1710</v>
      </c>
      <c r="J5" s="13"/>
      <c r="K5" s="13"/>
    </row>
    <row r="6" spans="1:11">
      <c r="A6" s="2">
        <v>4</v>
      </c>
      <c r="B6" s="29"/>
      <c r="C6" s="2"/>
      <c r="D6" s="2"/>
      <c r="E6" s="2"/>
      <c r="F6" s="6" t="s">
        <v>1713</v>
      </c>
      <c r="G6" s="2" t="s">
        <v>1708</v>
      </c>
      <c r="H6" s="30" t="s">
        <v>1714</v>
      </c>
      <c r="I6" s="28" t="s">
        <v>1715</v>
      </c>
      <c r="J6" s="13"/>
      <c r="K6" s="13"/>
    </row>
    <row r="7" spans="1:11">
      <c r="A7" s="2">
        <v>5</v>
      </c>
      <c r="B7" s="29"/>
      <c r="C7" s="2" t="s">
        <v>1716</v>
      </c>
      <c r="D7" s="2"/>
      <c r="E7" s="2" t="s">
        <v>1717</v>
      </c>
      <c r="F7" s="6" t="s">
        <v>1707</v>
      </c>
      <c r="G7" s="2" t="s">
        <v>1718</v>
      </c>
      <c r="H7" s="28" t="s">
        <v>1719</v>
      </c>
      <c r="I7" s="28" t="s">
        <v>1710</v>
      </c>
      <c r="J7" s="13"/>
      <c r="K7" s="13"/>
    </row>
    <row r="8" spans="1:11">
      <c r="A8" s="2">
        <v>6</v>
      </c>
      <c r="B8" s="29"/>
      <c r="C8" s="2"/>
      <c r="D8" s="2"/>
      <c r="E8" s="2"/>
      <c r="F8" s="6" t="s">
        <v>1711</v>
      </c>
      <c r="G8" s="2" t="s">
        <v>1718</v>
      </c>
      <c r="H8" s="28" t="s">
        <v>1712</v>
      </c>
      <c r="I8" s="28" t="s">
        <v>1710</v>
      </c>
      <c r="J8" s="13"/>
      <c r="K8" s="13"/>
    </row>
    <row r="9" spans="1:11">
      <c r="A9" s="2">
        <v>7</v>
      </c>
      <c r="B9" s="29"/>
      <c r="C9" s="2"/>
      <c r="D9" s="2"/>
      <c r="E9" s="2"/>
      <c r="F9" s="6" t="s">
        <v>1713</v>
      </c>
      <c r="G9" s="2" t="s">
        <v>1718</v>
      </c>
      <c r="H9" s="30" t="s">
        <v>1720</v>
      </c>
      <c r="I9" s="28" t="s">
        <v>1715</v>
      </c>
      <c r="J9" s="13"/>
      <c r="K9" s="13"/>
    </row>
    <row r="10" spans="1:11">
      <c r="A10" s="2"/>
      <c r="B10" s="29"/>
      <c r="C10" s="2"/>
      <c r="D10" s="2"/>
      <c r="E10" s="6" t="s">
        <v>1721</v>
      </c>
      <c r="F10" s="6" t="s">
        <v>1707</v>
      </c>
      <c r="G10" s="31">
        <v>42613</v>
      </c>
      <c r="H10" s="31">
        <v>42641</v>
      </c>
      <c r="I10" s="28" t="s">
        <v>1710</v>
      </c>
      <c r="J10" s="13"/>
      <c r="K10" s="13"/>
    </row>
    <row r="11" spans="1:11">
      <c r="A11" s="2"/>
      <c r="B11" s="29"/>
      <c r="C11" s="2"/>
      <c r="D11" s="2"/>
      <c r="E11" s="2"/>
      <c r="F11" s="6" t="s">
        <v>1711</v>
      </c>
      <c r="G11" s="31">
        <v>42613</v>
      </c>
      <c r="H11" s="31">
        <v>42637</v>
      </c>
      <c r="I11" s="28" t="s">
        <v>1710</v>
      </c>
      <c r="J11" s="13"/>
      <c r="K11" s="13"/>
    </row>
    <row r="12" spans="1:11">
      <c r="A12" s="2"/>
      <c r="B12" s="29"/>
      <c r="C12" s="2"/>
      <c r="D12" s="2"/>
      <c r="E12" s="2"/>
      <c r="F12" s="6" t="s">
        <v>1713</v>
      </c>
      <c r="G12" s="31">
        <v>42613</v>
      </c>
      <c r="H12" s="31">
        <v>42620</v>
      </c>
      <c r="I12" s="28" t="s">
        <v>1710</v>
      </c>
      <c r="J12" s="13"/>
      <c r="K12" s="13"/>
    </row>
    <row r="13" spans="1:11">
      <c r="A13" s="2"/>
      <c r="B13" s="29"/>
      <c r="C13" s="2"/>
      <c r="D13" s="2"/>
      <c r="E13" s="6" t="s">
        <v>1722</v>
      </c>
      <c r="F13" s="6" t="s">
        <v>1707</v>
      </c>
      <c r="G13" s="31">
        <v>42605</v>
      </c>
      <c r="H13" s="31">
        <v>42633</v>
      </c>
      <c r="I13" s="28" t="s">
        <v>1710</v>
      </c>
      <c r="J13" s="13"/>
      <c r="K13" s="13"/>
    </row>
    <row r="14" spans="1:11">
      <c r="A14" s="2"/>
      <c r="B14" s="29"/>
      <c r="C14" s="2"/>
      <c r="D14" s="2"/>
      <c r="E14" s="2"/>
      <c r="F14" s="6" t="s">
        <v>1711</v>
      </c>
      <c r="G14" s="31">
        <v>42605</v>
      </c>
      <c r="H14" s="31">
        <v>42627</v>
      </c>
      <c r="I14" s="28" t="s">
        <v>1710</v>
      </c>
      <c r="J14" s="13"/>
      <c r="K14" s="13"/>
    </row>
    <row r="15" spans="1:11">
      <c r="A15" s="2"/>
      <c r="B15" s="29"/>
      <c r="C15" s="2"/>
      <c r="D15" s="2"/>
      <c r="E15" s="2"/>
      <c r="F15" s="6" t="s">
        <v>1713</v>
      </c>
      <c r="G15" s="31">
        <v>42605</v>
      </c>
      <c r="H15" s="31">
        <v>42612</v>
      </c>
      <c r="I15" s="28" t="s">
        <v>1710</v>
      </c>
      <c r="J15" s="13"/>
      <c r="K15" s="13"/>
    </row>
    <row r="16" spans="1:11">
      <c r="A16" s="2"/>
      <c r="B16" s="29"/>
      <c r="C16" s="2"/>
      <c r="D16" s="2"/>
      <c r="E16" s="6" t="s">
        <v>1723</v>
      </c>
      <c r="F16" s="6" t="s">
        <v>1707</v>
      </c>
      <c r="G16" s="31">
        <v>42607</v>
      </c>
      <c r="H16" s="31">
        <v>42635</v>
      </c>
      <c r="I16" s="28" t="s">
        <v>1710</v>
      </c>
      <c r="J16" s="13"/>
      <c r="K16" s="13"/>
    </row>
    <row r="17" spans="1:11">
      <c r="A17" s="2"/>
      <c r="B17" s="29"/>
      <c r="C17" s="2"/>
      <c r="D17" s="2"/>
      <c r="E17" s="2"/>
      <c r="F17" s="6" t="s">
        <v>1711</v>
      </c>
      <c r="G17" s="31">
        <v>42607</v>
      </c>
      <c r="H17" s="31">
        <v>42630</v>
      </c>
      <c r="I17" s="28" t="s">
        <v>1710</v>
      </c>
      <c r="J17" s="13"/>
      <c r="K17" s="13"/>
    </row>
    <row r="18" spans="1:11">
      <c r="A18" s="2"/>
      <c r="B18" s="29"/>
      <c r="C18" s="2"/>
      <c r="D18" s="2"/>
      <c r="E18" s="2"/>
      <c r="F18" s="6" t="s">
        <v>1713</v>
      </c>
      <c r="G18" s="31">
        <v>42607</v>
      </c>
      <c r="H18" s="31">
        <v>42614</v>
      </c>
      <c r="I18" s="28" t="s">
        <v>1710</v>
      </c>
      <c r="J18" s="13"/>
      <c r="K18" s="13"/>
    </row>
    <row r="19" spans="1:11">
      <c r="A19" s="2"/>
      <c r="B19" s="29"/>
      <c r="C19" s="2"/>
      <c r="D19" s="2"/>
      <c r="E19" s="6" t="s">
        <v>1724</v>
      </c>
      <c r="F19" s="6" t="s">
        <v>1707</v>
      </c>
      <c r="G19" s="31">
        <v>42603</v>
      </c>
      <c r="H19" s="31">
        <v>42631</v>
      </c>
      <c r="I19" s="28" t="s">
        <v>1710</v>
      </c>
      <c r="J19" s="13"/>
      <c r="K19" s="13"/>
    </row>
    <row r="20" spans="1:11">
      <c r="A20" s="2"/>
      <c r="B20" s="29"/>
      <c r="C20" s="2"/>
      <c r="D20" s="2"/>
      <c r="E20" s="2"/>
      <c r="F20" s="6" t="s">
        <v>1711</v>
      </c>
      <c r="G20" s="31">
        <v>42603</v>
      </c>
      <c r="H20" s="31">
        <v>42625</v>
      </c>
      <c r="I20" s="28" t="s">
        <v>1710</v>
      </c>
      <c r="J20" s="13"/>
      <c r="K20" s="13"/>
    </row>
    <row r="21" spans="1:11">
      <c r="A21" s="2"/>
      <c r="B21" s="29"/>
      <c r="C21" s="2"/>
      <c r="D21" s="2"/>
      <c r="E21" s="2"/>
      <c r="F21" s="6" t="s">
        <v>1713</v>
      </c>
      <c r="G21" s="31">
        <v>42603</v>
      </c>
      <c r="H21" s="31">
        <v>42610</v>
      </c>
      <c r="I21" s="28" t="s">
        <v>1710</v>
      </c>
      <c r="J21" s="13"/>
      <c r="K21" s="13"/>
    </row>
    <row r="22" spans="1:11">
      <c r="A22" s="2"/>
      <c r="B22" s="29"/>
      <c r="C22" s="2"/>
      <c r="D22" s="2"/>
      <c r="E22" s="6" t="s">
        <v>1725</v>
      </c>
      <c r="F22" s="6" t="s">
        <v>1707</v>
      </c>
      <c r="G22" s="31">
        <v>42614</v>
      </c>
      <c r="H22" s="31">
        <v>42642</v>
      </c>
      <c r="I22" s="28" t="s">
        <v>1710</v>
      </c>
      <c r="J22" s="13"/>
      <c r="K22" s="13"/>
    </row>
    <row r="23" spans="1:11">
      <c r="A23" s="2"/>
      <c r="B23" s="29"/>
      <c r="C23" s="2"/>
      <c r="D23" s="2"/>
      <c r="E23" s="2"/>
      <c r="F23" s="6" t="s">
        <v>1711</v>
      </c>
      <c r="G23" s="31">
        <v>42614</v>
      </c>
      <c r="H23" s="31">
        <v>42639</v>
      </c>
      <c r="I23" s="28" t="s">
        <v>1710</v>
      </c>
      <c r="J23" s="13"/>
      <c r="K23" s="13"/>
    </row>
    <row r="24" spans="1:11">
      <c r="A24" s="2"/>
      <c r="B24" s="32"/>
      <c r="C24" s="2"/>
      <c r="D24" s="2"/>
      <c r="E24" s="2"/>
      <c r="F24" s="6" t="s">
        <v>1713</v>
      </c>
      <c r="G24" s="31">
        <v>42614</v>
      </c>
      <c r="H24" s="31">
        <v>42621</v>
      </c>
      <c r="I24" s="28" t="s">
        <v>1710</v>
      </c>
      <c r="J24" s="13"/>
      <c r="K24" s="13"/>
    </row>
    <row r="25" spans="1:11">
      <c r="A25" s="2">
        <v>8</v>
      </c>
      <c r="B25" s="2" t="s">
        <v>1726</v>
      </c>
      <c r="C25" s="2" t="s">
        <v>1727</v>
      </c>
      <c r="D25" s="2">
        <v>5</v>
      </c>
      <c r="E25" s="2"/>
      <c r="F25" s="2"/>
      <c r="G25" s="2" t="s">
        <v>1728</v>
      </c>
      <c r="H25" s="2" t="s">
        <v>932</v>
      </c>
      <c r="I25" s="28"/>
      <c r="J25" s="13"/>
      <c r="K25" s="13"/>
    </row>
    <row r="26" spans="1:11">
      <c r="A26" s="2">
        <v>9</v>
      </c>
      <c r="B26" s="2" t="s">
        <v>1591</v>
      </c>
      <c r="C26" s="2" t="s">
        <v>1729</v>
      </c>
      <c r="D26" s="2">
        <v>5</v>
      </c>
      <c r="E26" s="2"/>
      <c r="F26" s="2" t="s">
        <v>1619</v>
      </c>
      <c r="G26" s="2" t="s">
        <v>1728</v>
      </c>
      <c r="H26" s="2" t="s">
        <v>932</v>
      </c>
      <c r="I26" s="28"/>
      <c r="J26" s="13"/>
      <c r="K26" s="13"/>
    </row>
    <row r="27" spans="1:11">
      <c r="A27" s="2">
        <v>10</v>
      </c>
      <c r="B27" s="2" t="s">
        <v>1550</v>
      </c>
      <c r="C27" s="2" t="s">
        <v>1730</v>
      </c>
      <c r="D27" s="2">
        <v>5</v>
      </c>
      <c r="E27" s="2"/>
      <c r="F27" s="2" t="s">
        <v>1652</v>
      </c>
      <c r="G27" s="2" t="s">
        <v>1728</v>
      </c>
      <c r="H27" s="2" t="s">
        <v>932</v>
      </c>
      <c r="I27" s="2"/>
      <c r="J27" s="13"/>
      <c r="K27" s="13"/>
    </row>
    <row r="28" spans="1:11">
      <c r="A28" s="2">
        <v>11</v>
      </c>
      <c r="B28" s="2" t="s">
        <v>1731</v>
      </c>
      <c r="C28" s="2" t="s">
        <v>1732</v>
      </c>
      <c r="D28" s="2">
        <v>6</v>
      </c>
      <c r="E28" s="2"/>
      <c r="F28" s="2"/>
      <c r="G28" s="2"/>
      <c r="H28" s="2"/>
      <c r="I28" s="2"/>
      <c r="J28" s="13"/>
      <c r="K28" s="13" t="s">
        <v>1733</v>
      </c>
    </row>
    <row r="29" ht="28.5" spans="1:11">
      <c r="A29" s="2">
        <v>12</v>
      </c>
      <c r="B29" s="33" t="s">
        <v>1734</v>
      </c>
      <c r="C29" s="2"/>
      <c r="D29" s="2"/>
      <c r="E29" s="2"/>
      <c r="F29" s="2"/>
      <c r="G29" s="2"/>
      <c r="H29" s="2"/>
      <c r="I29" s="2"/>
      <c r="J29" s="13"/>
      <c r="K29" s="13"/>
    </row>
    <row r="30" ht="28.5" spans="1:11">
      <c r="A30" s="2">
        <v>13</v>
      </c>
      <c r="B30" s="33" t="s">
        <v>1735</v>
      </c>
      <c r="C30" s="2"/>
      <c r="D30" s="2"/>
      <c r="E30" s="2"/>
      <c r="F30" s="2"/>
      <c r="G30" s="2"/>
      <c r="H30" s="2"/>
      <c r="I30" s="2"/>
      <c r="J30" s="13"/>
      <c r="K30" s="13"/>
    </row>
    <row r="31" ht="28.5" spans="1:11">
      <c r="A31" s="2">
        <v>14</v>
      </c>
      <c r="B31" s="33" t="s">
        <v>1736</v>
      </c>
      <c r="C31" s="2"/>
      <c r="D31" s="2"/>
      <c r="E31" s="2"/>
      <c r="F31" s="2"/>
      <c r="G31" s="2"/>
      <c r="H31" s="2"/>
      <c r="I31" s="2"/>
      <c r="J31" s="13"/>
      <c r="K31" s="13"/>
    </row>
    <row r="32" ht="28.5" spans="1:11">
      <c r="A32" s="2">
        <v>15</v>
      </c>
      <c r="B32" s="33" t="s">
        <v>1737</v>
      </c>
      <c r="C32" s="2"/>
      <c r="D32" s="2"/>
      <c r="E32" s="2"/>
      <c r="F32" s="2"/>
      <c r="G32" s="2"/>
      <c r="H32" s="2"/>
      <c r="I32" s="2"/>
      <c r="J32" s="13"/>
      <c r="K32" s="13"/>
    </row>
    <row r="33" spans="1:11">
      <c r="A33" s="2"/>
      <c r="B33" s="33"/>
      <c r="C33" s="2"/>
      <c r="D33" s="2"/>
      <c r="E33" s="2"/>
      <c r="F33" s="2"/>
      <c r="G33" s="2"/>
      <c r="H33" s="2"/>
      <c r="I33" s="2"/>
      <c r="J33" s="13"/>
      <c r="K33" s="13"/>
    </row>
    <row r="34" spans="1:11">
      <c r="A34" s="2"/>
      <c r="B34" s="2"/>
      <c r="C34" s="2"/>
      <c r="D34" s="2"/>
      <c r="E34" s="2"/>
      <c r="F34" s="2"/>
      <c r="G34" s="2"/>
      <c r="H34" s="2"/>
      <c r="I34" s="2"/>
      <c r="J34" s="13"/>
      <c r="K34" s="13"/>
    </row>
    <row r="35" spans="1:11">
      <c r="A35" s="2"/>
      <c r="B35" s="2"/>
      <c r="C35" s="2"/>
      <c r="D35" s="2"/>
      <c r="E35" s="2"/>
      <c r="F35" s="2"/>
      <c r="G35" s="2"/>
      <c r="H35" s="2"/>
      <c r="I35" s="2"/>
      <c r="J35" s="13"/>
      <c r="K35" s="13"/>
    </row>
    <row r="36" spans="1:11">
      <c r="A36" s="2"/>
      <c r="B36" s="2"/>
      <c r="C36" s="2"/>
      <c r="D36" s="2"/>
      <c r="E36" s="2"/>
      <c r="F36" s="2"/>
      <c r="G36" s="2"/>
      <c r="H36" s="2"/>
      <c r="I36" s="2"/>
      <c r="J36" s="13"/>
      <c r="K36" s="13"/>
    </row>
    <row r="37" spans="1:11">
      <c r="A37" s="2"/>
      <c r="B37" s="2"/>
      <c r="C37" s="2"/>
      <c r="D37" s="2"/>
      <c r="E37" s="2"/>
      <c r="F37" s="2"/>
      <c r="G37" s="2"/>
      <c r="H37" s="2"/>
      <c r="I37" s="2"/>
      <c r="J37" s="13"/>
      <c r="K37" s="13"/>
    </row>
    <row r="38" spans="1:11">
      <c r="A38" s="2"/>
      <c r="B38" s="2"/>
      <c r="C38" s="2"/>
      <c r="D38" s="2"/>
      <c r="E38" s="2"/>
      <c r="F38" s="2"/>
      <c r="G38" s="2"/>
      <c r="H38" s="2"/>
      <c r="I38" s="2"/>
      <c r="J38" s="13"/>
      <c r="K38" s="13"/>
    </row>
    <row r="39" spans="1:11">
      <c r="A39" s="2"/>
      <c r="B39" s="2"/>
      <c r="C39" s="2"/>
      <c r="D39" s="2"/>
      <c r="E39" s="2"/>
      <c r="F39" s="2"/>
      <c r="G39" s="2"/>
      <c r="H39" s="2"/>
      <c r="I39" s="2"/>
      <c r="J39" s="13"/>
      <c r="K39" s="13"/>
    </row>
    <row r="40" spans="1:11">
      <c r="A40" s="2"/>
      <c r="B40" s="2"/>
      <c r="C40" s="2"/>
      <c r="D40" s="2"/>
      <c r="E40" s="2"/>
      <c r="F40" s="2"/>
      <c r="G40" s="2"/>
      <c r="H40" s="2"/>
      <c r="I40" s="2"/>
      <c r="J40" s="13"/>
      <c r="K40" s="13"/>
    </row>
    <row r="41" spans="1:11">
      <c r="A41" s="2"/>
      <c r="B41" s="2"/>
      <c r="C41" s="2"/>
      <c r="D41" s="2"/>
      <c r="E41" s="2"/>
      <c r="F41" s="2"/>
      <c r="G41" s="2"/>
      <c r="H41" s="2"/>
      <c r="I41" s="2"/>
      <c r="J41" s="13"/>
      <c r="K41" s="13"/>
    </row>
    <row r="42" spans="1:11">
      <c r="A42" s="2"/>
      <c r="B42" s="2"/>
      <c r="C42" s="2"/>
      <c r="D42" s="2"/>
      <c r="E42" s="2"/>
      <c r="F42" s="2"/>
      <c r="G42" s="2"/>
      <c r="H42" s="2"/>
      <c r="I42" s="2"/>
      <c r="J42" s="13"/>
      <c r="K42" s="13"/>
    </row>
  </sheetData>
  <mergeCells count="9">
    <mergeCell ref="A1:I1"/>
    <mergeCell ref="B4:B24"/>
    <mergeCell ref="E4:E6"/>
    <mergeCell ref="E7:E9"/>
    <mergeCell ref="E10:E12"/>
    <mergeCell ref="E13:E15"/>
    <mergeCell ref="E16:E18"/>
    <mergeCell ref="E19:E21"/>
    <mergeCell ref="E22:E24"/>
  </mergeCells>
  <pageMargins left="0.75" right="0.75" top="1" bottom="1" header="0.511805555555556" footer="0.511805555555556"/>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topLeftCell="A10" workbookViewId="0">
      <selection activeCell="B15" sqref="B15:H16"/>
    </sheetView>
  </sheetViews>
  <sheetFormatPr defaultColWidth="9" defaultRowHeight="14.25"/>
  <cols>
    <col min="2" max="2" width="29.375" customWidth="1"/>
    <col min="3" max="3" width="12.125" customWidth="1"/>
    <col min="5" max="5" width="16.75" customWidth="1"/>
    <col min="7" max="7" width="18.25" customWidth="1"/>
    <col min="8" max="8" width="26.375" customWidth="1"/>
    <col min="9" max="9" width="10.375"/>
  </cols>
  <sheetData>
    <row r="1" ht="20.25" spans="1:8">
      <c r="A1" s="1" t="s">
        <v>1738</v>
      </c>
      <c r="B1" s="1"/>
      <c r="C1" s="1"/>
      <c r="D1" s="1"/>
      <c r="E1" s="1"/>
      <c r="F1" s="1"/>
      <c r="G1" s="1"/>
      <c r="H1" s="1"/>
    </row>
    <row r="2" spans="1:9">
      <c r="A2" s="2" t="s">
        <v>1</v>
      </c>
      <c r="B2" s="2" t="s">
        <v>2</v>
      </c>
      <c r="C2" s="2" t="s">
        <v>1578</v>
      </c>
      <c r="D2" s="2" t="s">
        <v>4</v>
      </c>
      <c r="E2" s="2" t="s">
        <v>1579</v>
      </c>
      <c r="F2" s="2" t="s">
        <v>1580</v>
      </c>
      <c r="G2" s="2" t="s">
        <v>1581</v>
      </c>
      <c r="H2" s="2" t="s">
        <v>1582</v>
      </c>
      <c r="I2" s="13" t="s">
        <v>1583</v>
      </c>
    </row>
    <row r="3" ht="28.5" spans="1:9">
      <c r="A3" s="2">
        <v>1</v>
      </c>
      <c r="B3" s="2" t="s">
        <v>1591</v>
      </c>
      <c r="C3" s="3" t="s">
        <v>1739</v>
      </c>
      <c r="D3" s="2" t="s">
        <v>1557</v>
      </c>
      <c r="E3" s="4"/>
      <c r="F3" s="2" t="s">
        <v>1619</v>
      </c>
      <c r="G3" s="2" t="s">
        <v>1060</v>
      </c>
      <c r="H3" s="2" t="s">
        <v>1558</v>
      </c>
      <c r="I3" s="14"/>
    </row>
    <row r="4" ht="28.5" spans="1:9">
      <c r="A4" s="2">
        <v>2</v>
      </c>
      <c r="B4" s="2" t="s">
        <v>1550</v>
      </c>
      <c r="C4" s="3" t="s">
        <v>1740</v>
      </c>
      <c r="D4" s="2" t="s">
        <v>1557</v>
      </c>
      <c r="E4" s="4"/>
      <c r="F4" s="2" t="s">
        <v>1590</v>
      </c>
      <c r="G4" s="2" t="s">
        <v>1060</v>
      </c>
      <c r="H4" s="2" t="s">
        <v>1558</v>
      </c>
      <c r="I4" s="13"/>
    </row>
    <row r="5" ht="28.5" spans="1:9">
      <c r="A5" s="2"/>
      <c r="B5" s="2" t="s">
        <v>1591</v>
      </c>
      <c r="C5" s="3" t="s">
        <v>1741</v>
      </c>
      <c r="D5" s="2" t="s">
        <v>1557</v>
      </c>
      <c r="E5" s="4"/>
      <c r="F5" s="2" t="s">
        <v>1619</v>
      </c>
      <c r="G5" s="23">
        <v>42979</v>
      </c>
      <c r="H5" s="23">
        <v>43018</v>
      </c>
      <c r="I5" s="13"/>
    </row>
    <row r="6" ht="28.5" spans="1:9">
      <c r="A6" s="2"/>
      <c r="B6" s="2" t="s">
        <v>1550</v>
      </c>
      <c r="C6" s="3" t="s">
        <v>1742</v>
      </c>
      <c r="D6" s="2" t="s">
        <v>1557</v>
      </c>
      <c r="E6" s="4"/>
      <c r="F6" s="2" t="s">
        <v>1590</v>
      </c>
      <c r="G6" s="23">
        <v>42979</v>
      </c>
      <c r="H6" s="23">
        <v>43018</v>
      </c>
      <c r="I6" s="13"/>
    </row>
    <row r="7" ht="28.5" spans="1:9">
      <c r="A7" s="2">
        <v>3</v>
      </c>
      <c r="B7" s="2" t="s">
        <v>1595</v>
      </c>
      <c r="C7" s="3" t="s">
        <v>1743</v>
      </c>
      <c r="D7" s="2" t="s">
        <v>1557</v>
      </c>
      <c r="E7" s="4"/>
      <c r="F7" s="3" t="s">
        <v>1744</v>
      </c>
      <c r="G7" s="2" t="s">
        <v>1745</v>
      </c>
      <c r="H7" s="2" t="s">
        <v>1558</v>
      </c>
      <c r="I7" s="13"/>
    </row>
    <row r="8" ht="28.5" spans="1:9">
      <c r="A8" s="2">
        <v>4</v>
      </c>
      <c r="B8" s="2" t="s">
        <v>1595</v>
      </c>
      <c r="C8" s="3" t="s">
        <v>1746</v>
      </c>
      <c r="D8" s="2" t="s">
        <v>1557</v>
      </c>
      <c r="E8" s="4"/>
      <c r="F8" s="3" t="s">
        <v>1744</v>
      </c>
      <c r="G8" s="2" t="s">
        <v>409</v>
      </c>
      <c r="H8" s="2" t="s">
        <v>1558</v>
      </c>
      <c r="I8" s="13"/>
    </row>
    <row r="9" ht="28.5" spans="1:9">
      <c r="A9" s="2">
        <v>5</v>
      </c>
      <c r="B9" s="2" t="s">
        <v>1595</v>
      </c>
      <c r="C9" s="3" t="s">
        <v>1747</v>
      </c>
      <c r="D9" s="2" t="s">
        <v>1557</v>
      </c>
      <c r="E9" s="5"/>
      <c r="F9" s="3" t="s">
        <v>1748</v>
      </c>
      <c r="G9" s="2" t="s">
        <v>1189</v>
      </c>
      <c r="H9" s="2" t="s">
        <v>1558</v>
      </c>
      <c r="I9" s="13"/>
    </row>
    <row r="10" ht="28.5" spans="1:9">
      <c r="A10" s="2">
        <v>6</v>
      </c>
      <c r="B10" s="2" t="s">
        <v>1595</v>
      </c>
      <c r="C10" s="3" t="s">
        <v>1749</v>
      </c>
      <c r="D10" s="2" t="s">
        <v>1557</v>
      </c>
      <c r="E10" s="2"/>
      <c r="F10" s="3" t="s">
        <v>1748</v>
      </c>
      <c r="G10" s="2" t="s">
        <v>427</v>
      </c>
      <c r="H10" s="2" t="s">
        <v>1558</v>
      </c>
      <c r="I10" s="13"/>
    </row>
    <row r="11" ht="28.5" spans="1:9">
      <c r="A11" s="2">
        <v>7</v>
      </c>
      <c r="B11" s="2" t="s">
        <v>1595</v>
      </c>
      <c r="C11" s="3" t="s">
        <v>1750</v>
      </c>
      <c r="D11" s="2" t="s">
        <v>1557</v>
      </c>
      <c r="E11" s="2"/>
      <c r="F11" s="3" t="s">
        <v>1748</v>
      </c>
      <c r="G11" s="2" t="s">
        <v>1751</v>
      </c>
      <c r="H11" s="2" t="s">
        <v>1558</v>
      </c>
      <c r="I11" s="13"/>
    </row>
    <row r="12" ht="28.5" spans="1:9">
      <c r="A12" s="2">
        <v>8</v>
      </c>
      <c r="B12" s="2" t="s">
        <v>1595</v>
      </c>
      <c r="C12" s="3" t="s">
        <v>1752</v>
      </c>
      <c r="D12" s="2" t="s">
        <v>1557</v>
      </c>
      <c r="E12" s="2"/>
      <c r="F12" s="3" t="s">
        <v>1744</v>
      </c>
      <c r="G12" s="2" t="s">
        <v>1751</v>
      </c>
      <c r="H12" s="2" t="s">
        <v>1558</v>
      </c>
      <c r="I12" s="13"/>
    </row>
    <row r="13" ht="28.5" spans="1:9">
      <c r="A13" s="2">
        <v>9</v>
      </c>
      <c r="B13" s="2" t="s">
        <v>1595</v>
      </c>
      <c r="C13" s="3" t="s">
        <v>1753</v>
      </c>
      <c r="D13" s="2" t="s">
        <v>1557</v>
      </c>
      <c r="E13" s="2"/>
      <c r="F13" s="3" t="s">
        <v>1744</v>
      </c>
      <c r="G13" s="2" t="s">
        <v>423</v>
      </c>
      <c r="H13" s="2" t="s">
        <v>1558</v>
      </c>
      <c r="I13" s="13"/>
    </row>
    <row r="14" ht="28.5" spans="1:9">
      <c r="A14" s="2">
        <v>10</v>
      </c>
      <c r="B14" s="2" t="s">
        <v>1595</v>
      </c>
      <c r="C14" s="3" t="s">
        <v>1754</v>
      </c>
      <c r="D14" s="2" t="s">
        <v>1557</v>
      </c>
      <c r="E14" s="2"/>
      <c r="F14" s="3" t="s">
        <v>1748</v>
      </c>
      <c r="G14" s="2" t="s">
        <v>1755</v>
      </c>
      <c r="H14" s="2" t="s">
        <v>1194</v>
      </c>
      <c r="I14" s="13"/>
    </row>
    <row r="15" spans="1:9">
      <c r="A15" s="2"/>
      <c r="B15" s="6" t="s">
        <v>1756</v>
      </c>
      <c r="C15" s="2" t="s">
        <v>1757</v>
      </c>
      <c r="D15" s="2"/>
      <c r="E15" s="2"/>
      <c r="F15" s="2" t="s">
        <v>1758</v>
      </c>
      <c r="G15" s="2" t="s">
        <v>1759</v>
      </c>
      <c r="H15" s="2" t="s">
        <v>890</v>
      </c>
      <c r="I15" s="13"/>
    </row>
    <row r="16" spans="1:9">
      <c r="A16" s="2"/>
      <c r="B16" s="6" t="s">
        <v>1760</v>
      </c>
      <c r="C16" s="2" t="s">
        <v>1761</v>
      </c>
      <c r="D16" s="2"/>
      <c r="E16" s="2"/>
      <c r="F16" s="2" t="s">
        <v>1762</v>
      </c>
      <c r="G16" s="2" t="s">
        <v>1763</v>
      </c>
      <c r="H16" s="2" t="s">
        <v>890</v>
      </c>
      <c r="I16" s="13"/>
    </row>
    <row r="17" spans="1:9">
      <c r="A17" s="2"/>
      <c r="B17" s="2"/>
      <c r="C17" s="2"/>
      <c r="D17" s="2"/>
      <c r="E17" s="2"/>
      <c r="F17" s="2"/>
      <c r="G17" s="2"/>
      <c r="H17" s="2"/>
      <c r="I17" s="13"/>
    </row>
    <row r="18" spans="1:9">
      <c r="A18" s="2"/>
      <c r="B18" s="2"/>
      <c r="C18" s="2"/>
      <c r="D18" s="2"/>
      <c r="E18" s="2"/>
      <c r="F18" s="2"/>
      <c r="G18" s="2"/>
      <c r="H18" s="2"/>
      <c r="I18" s="13"/>
    </row>
    <row r="19" spans="1:9">
      <c r="A19" s="2"/>
      <c r="B19" s="2"/>
      <c r="C19" s="2"/>
      <c r="D19" s="2"/>
      <c r="E19" s="2"/>
      <c r="F19" s="2"/>
      <c r="G19" s="2"/>
      <c r="H19" s="2"/>
      <c r="I19" s="13"/>
    </row>
    <row r="20" spans="1:9">
      <c r="A20" s="2"/>
      <c r="B20" s="2"/>
      <c r="C20" s="2"/>
      <c r="D20" s="2"/>
      <c r="E20" s="2"/>
      <c r="F20" s="2"/>
      <c r="G20" s="2"/>
      <c r="H20" s="2"/>
      <c r="I20" s="13"/>
    </row>
    <row r="21" spans="1:9">
      <c r="A21" s="2"/>
      <c r="B21" s="2"/>
      <c r="C21" s="2"/>
      <c r="D21" s="2"/>
      <c r="E21" s="2"/>
      <c r="F21" s="2"/>
      <c r="G21" s="2"/>
      <c r="H21" s="2"/>
      <c r="I21" s="13"/>
    </row>
    <row r="22" spans="1:9">
      <c r="A22" s="2"/>
      <c r="B22" s="2"/>
      <c r="C22" s="2"/>
      <c r="D22" s="2"/>
      <c r="E22" s="2"/>
      <c r="F22" s="2"/>
      <c r="G22" s="2"/>
      <c r="H22" s="2"/>
      <c r="I22" s="13"/>
    </row>
  </sheetData>
  <mergeCells count="1">
    <mergeCell ref="A1:H1"/>
  </mergeCells>
  <pageMargins left="0.75" right="0.75" top="1" bottom="1" header="0.511805555555556" footer="0.511805555555556"/>
  <pageSetup paperSize="9" orientation="portrait"/>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4"/>
  <sheetViews>
    <sheetView topLeftCell="A10" workbookViewId="0">
      <selection activeCell="B15" sqref="B15:H16"/>
    </sheetView>
  </sheetViews>
  <sheetFormatPr defaultColWidth="9" defaultRowHeight="14.25"/>
  <cols>
    <col min="2" max="2" width="29.375" customWidth="1"/>
    <col min="3" max="3" width="16.875" customWidth="1"/>
    <col min="5" max="5" width="16.75" customWidth="1"/>
    <col min="6" max="6" width="14.875" customWidth="1"/>
    <col min="7" max="7" width="18.25" customWidth="1"/>
    <col min="8" max="8" width="26.375" customWidth="1"/>
    <col min="9" max="9" width="10.375"/>
  </cols>
  <sheetData>
    <row r="1" ht="20.25" spans="1:8">
      <c r="A1" s="1" t="s">
        <v>1764</v>
      </c>
      <c r="B1" s="1"/>
      <c r="C1" s="1"/>
      <c r="D1" s="1"/>
      <c r="E1" s="1"/>
      <c r="F1" s="1"/>
      <c r="G1" s="1"/>
      <c r="H1" s="1"/>
    </row>
    <row r="2" spans="1:9">
      <c r="A2" s="2" t="s">
        <v>1</v>
      </c>
      <c r="B2" s="2" t="s">
        <v>2</v>
      </c>
      <c r="C2" s="2" t="s">
        <v>1578</v>
      </c>
      <c r="D2" s="2" t="s">
        <v>4</v>
      </c>
      <c r="E2" s="2" t="s">
        <v>1579</v>
      </c>
      <c r="F2" s="2" t="s">
        <v>1580</v>
      </c>
      <c r="G2" s="2" t="s">
        <v>1581</v>
      </c>
      <c r="H2" s="2" t="s">
        <v>1582</v>
      </c>
      <c r="I2" s="13" t="s">
        <v>1583</v>
      </c>
    </row>
    <row r="3" ht="28.5" spans="1:9">
      <c r="A3" s="2">
        <v>1</v>
      </c>
      <c r="B3" s="2" t="s">
        <v>1591</v>
      </c>
      <c r="C3" s="3" t="s">
        <v>1765</v>
      </c>
      <c r="D3" s="2" t="s">
        <v>1557</v>
      </c>
      <c r="E3" s="4"/>
      <c r="F3" s="2"/>
      <c r="G3" s="2" t="s">
        <v>1060</v>
      </c>
      <c r="H3" s="2" t="s">
        <v>1558</v>
      </c>
      <c r="I3" s="24" t="s">
        <v>1641</v>
      </c>
    </row>
    <row r="4" ht="28.5" spans="1:9">
      <c r="A4" s="2">
        <v>2</v>
      </c>
      <c r="B4" s="2" t="s">
        <v>1550</v>
      </c>
      <c r="C4" s="3" t="s">
        <v>1766</v>
      </c>
      <c r="D4" s="2" t="s">
        <v>1557</v>
      </c>
      <c r="E4" s="4"/>
      <c r="F4" s="2" t="s">
        <v>1590</v>
      </c>
      <c r="G4" s="2" t="s">
        <v>1060</v>
      </c>
      <c r="H4" s="2" t="s">
        <v>1558</v>
      </c>
      <c r="I4" s="25"/>
    </row>
    <row r="5" ht="28.5" spans="1:9">
      <c r="A5" s="2"/>
      <c r="B5" s="2" t="s">
        <v>1591</v>
      </c>
      <c r="C5" s="3" t="s">
        <v>1739</v>
      </c>
      <c r="D5" s="2" t="s">
        <v>1557</v>
      </c>
      <c r="E5" s="4"/>
      <c r="F5" s="2" t="s">
        <v>1619</v>
      </c>
      <c r="G5" s="2" t="s">
        <v>418</v>
      </c>
      <c r="H5" s="23">
        <v>43018</v>
      </c>
      <c r="I5" s="25"/>
    </row>
    <row r="6" ht="28.5" spans="1:9">
      <c r="A6" s="2"/>
      <c r="B6" s="2" t="s">
        <v>1550</v>
      </c>
      <c r="C6" s="3" t="s">
        <v>1767</v>
      </c>
      <c r="D6" s="2" t="s">
        <v>1557</v>
      </c>
      <c r="E6" s="4"/>
      <c r="F6" s="2" t="s">
        <v>1590</v>
      </c>
      <c r="G6" s="2" t="s">
        <v>792</v>
      </c>
      <c r="H6" s="23">
        <v>43018</v>
      </c>
      <c r="I6" s="25"/>
    </row>
    <row r="7" ht="28.5" spans="1:9">
      <c r="A7" s="2"/>
      <c r="B7" s="2" t="s">
        <v>1591</v>
      </c>
      <c r="C7" s="3" t="s">
        <v>1739</v>
      </c>
      <c r="D7" s="2" t="s">
        <v>1557</v>
      </c>
      <c r="E7" s="4"/>
      <c r="F7" s="2" t="s">
        <v>1619</v>
      </c>
      <c r="G7" s="23">
        <v>42979</v>
      </c>
      <c r="H7" s="23">
        <v>43018</v>
      </c>
      <c r="I7" s="25"/>
    </row>
    <row r="8" ht="28.5" spans="1:9">
      <c r="A8" s="2"/>
      <c r="B8" s="2" t="s">
        <v>1550</v>
      </c>
      <c r="C8" s="3" t="s">
        <v>1767</v>
      </c>
      <c r="D8" s="2" t="s">
        <v>1557</v>
      </c>
      <c r="E8" s="4"/>
      <c r="F8" s="2" t="s">
        <v>1590</v>
      </c>
      <c r="G8" s="23">
        <v>42979</v>
      </c>
      <c r="H8" s="23">
        <v>43018</v>
      </c>
      <c r="I8" s="25"/>
    </row>
    <row r="9" ht="19" customHeight="1" spans="1:9">
      <c r="A9" s="2">
        <v>3</v>
      </c>
      <c r="B9" s="2" t="s">
        <v>1595</v>
      </c>
      <c r="C9" s="2" t="s">
        <v>1768</v>
      </c>
      <c r="D9" s="2" t="s">
        <v>1557</v>
      </c>
      <c r="E9" s="4"/>
      <c r="F9" s="3" t="s">
        <v>1748</v>
      </c>
      <c r="G9" s="2" t="s">
        <v>1769</v>
      </c>
      <c r="H9" s="23">
        <v>43018</v>
      </c>
      <c r="I9" s="25"/>
    </row>
    <row r="10" ht="24" customHeight="1" spans="1:9">
      <c r="A10" s="2">
        <v>4</v>
      </c>
      <c r="B10" s="2" t="s">
        <v>1595</v>
      </c>
      <c r="C10" s="2" t="s">
        <v>1770</v>
      </c>
      <c r="D10" s="2" t="s">
        <v>1557</v>
      </c>
      <c r="E10" s="4"/>
      <c r="F10" s="3" t="s">
        <v>1744</v>
      </c>
      <c r="G10" s="2" t="s">
        <v>1771</v>
      </c>
      <c r="H10" s="23">
        <v>43018</v>
      </c>
      <c r="I10" s="25"/>
    </row>
    <row r="11" ht="24" customHeight="1" spans="1:9">
      <c r="A11" s="2">
        <v>5</v>
      </c>
      <c r="B11" s="2" t="s">
        <v>1595</v>
      </c>
      <c r="C11" s="2" t="s">
        <v>1772</v>
      </c>
      <c r="D11" s="2" t="s">
        <v>1557</v>
      </c>
      <c r="E11" s="5"/>
      <c r="F11" s="3" t="s">
        <v>1744</v>
      </c>
      <c r="G11" s="2" t="s">
        <v>1771</v>
      </c>
      <c r="H11" s="23">
        <v>43018</v>
      </c>
      <c r="I11" s="25"/>
    </row>
    <row r="12" ht="24" customHeight="1" spans="1:9">
      <c r="A12" s="6">
        <v>6</v>
      </c>
      <c r="B12" s="2" t="s">
        <v>1595</v>
      </c>
      <c r="C12" s="2" t="s">
        <v>1773</v>
      </c>
      <c r="D12" s="2" t="s">
        <v>1557</v>
      </c>
      <c r="E12" s="6"/>
      <c r="F12" s="3" t="s">
        <v>1744</v>
      </c>
      <c r="G12" s="2" t="s">
        <v>1769</v>
      </c>
      <c r="H12" s="23">
        <v>43018</v>
      </c>
      <c r="I12" s="25"/>
    </row>
    <row r="13" ht="24" customHeight="1" spans="1:9">
      <c r="A13" s="2">
        <v>7</v>
      </c>
      <c r="B13" s="2" t="s">
        <v>1595</v>
      </c>
      <c r="C13" s="2" t="s">
        <v>1774</v>
      </c>
      <c r="D13" s="2" t="s">
        <v>1557</v>
      </c>
      <c r="E13" s="2"/>
      <c r="F13" s="3" t="s">
        <v>1744</v>
      </c>
      <c r="G13" s="2" t="s">
        <v>1599</v>
      </c>
      <c r="H13" s="23">
        <v>43018</v>
      </c>
      <c r="I13" s="25"/>
    </row>
    <row r="14" ht="24" customHeight="1" spans="1:9">
      <c r="A14" s="2">
        <v>8</v>
      </c>
      <c r="B14" s="2" t="s">
        <v>1595</v>
      </c>
      <c r="C14" s="2" t="s">
        <v>1775</v>
      </c>
      <c r="D14" s="2" t="s">
        <v>1557</v>
      </c>
      <c r="E14" s="2"/>
      <c r="F14" s="3" t="s">
        <v>1744</v>
      </c>
      <c r="G14" s="2" t="s">
        <v>1599</v>
      </c>
      <c r="H14" s="23">
        <v>43018</v>
      </c>
      <c r="I14" s="26"/>
    </row>
    <row r="15" ht="24" customHeight="1" spans="1:9">
      <c r="A15" s="2">
        <v>9</v>
      </c>
      <c r="B15" s="6" t="s">
        <v>1756</v>
      </c>
      <c r="C15" s="2" t="s">
        <v>1776</v>
      </c>
      <c r="D15" s="2"/>
      <c r="E15" s="2"/>
      <c r="F15" s="2" t="s">
        <v>1758</v>
      </c>
      <c r="G15" s="2" t="s">
        <v>792</v>
      </c>
      <c r="H15" s="2" t="s">
        <v>890</v>
      </c>
      <c r="I15" s="13"/>
    </row>
    <row r="16" ht="24" customHeight="1" spans="1:9">
      <c r="A16" s="2">
        <v>10</v>
      </c>
      <c r="B16" s="6" t="s">
        <v>1760</v>
      </c>
      <c r="C16" s="2" t="s">
        <v>1777</v>
      </c>
      <c r="D16" s="2"/>
      <c r="E16" s="2"/>
      <c r="F16" s="2" t="s">
        <v>1762</v>
      </c>
      <c r="G16" s="2" t="s">
        <v>1778</v>
      </c>
      <c r="H16" s="2" t="s">
        <v>890</v>
      </c>
      <c r="I16" s="13"/>
    </row>
    <row r="17" ht="24" customHeight="1" spans="1:9">
      <c r="A17" s="2"/>
      <c r="B17" s="2"/>
      <c r="C17" s="2"/>
      <c r="D17" s="2"/>
      <c r="E17" s="2"/>
      <c r="F17" s="2"/>
      <c r="G17" s="2"/>
      <c r="H17" s="2"/>
      <c r="I17" s="13"/>
    </row>
    <row r="18" ht="24" customHeight="1" spans="1:9">
      <c r="A18" s="2"/>
      <c r="B18" s="2"/>
      <c r="C18" s="2"/>
      <c r="D18" s="2"/>
      <c r="E18" s="2"/>
      <c r="F18" s="2"/>
      <c r="G18" s="2"/>
      <c r="H18" s="2"/>
      <c r="I18" s="13"/>
    </row>
    <row r="19" ht="24" customHeight="1" spans="1:9">
      <c r="A19" s="2"/>
      <c r="B19" s="2"/>
      <c r="C19" s="2"/>
      <c r="D19" s="2"/>
      <c r="E19" s="2"/>
      <c r="F19" s="2"/>
      <c r="G19" s="2"/>
      <c r="H19" s="2"/>
      <c r="I19" s="13"/>
    </row>
    <row r="20" ht="24" customHeight="1" spans="1:9">
      <c r="A20" s="2"/>
      <c r="B20" s="2"/>
      <c r="C20" s="2"/>
      <c r="D20" s="2"/>
      <c r="E20" s="2"/>
      <c r="F20" s="2"/>
      <c r="G20" s="2"/>
      <c r="H20" s="2"/>
      <c r="I20" s="13"/>
    </row>
    <row r="21" ht="24" customHeight="1" spans="1:9">
      <c r="A21" s="2"/>
      <c r="B21" s="2"/>
      <c r="C21" s="2"/>
      <c r="D21" s="2"/>
      <c r="E21" s="2"/>
      <c r="F21" s="2"/>
      <c r="G21" s="2"/>
      <c r="H21" s="2"/>
      <c r="I21" s="13"/>
    </row>
    <row r="22" ht="24" customHeight="1" spans="1:9">
      <c r="A22" s="2"/>
      <c r="B22" s="2"/>
      <c r="C22" s="2"/>
      <c r="D22" s="2"/>
      <c r="E22" s="2"/>
      <c r="F22" s="2"/>
      <c r="G22" s="2"/>
      <c r="H22" s="2"/>
      <c r="I22" s="13"/>
    </row>
    <row r="23" ht="24" customHeight="1" spans="1:9">
      <c r="A23" s="2"/>
      <c r="B23" s="2"/>
      <c r="C23" s="2"/>
      <c r="D23" s="2"/>
      <c r="E23" s="2"/>
      <c r="F23" s="2"/>
      <c r="G23" s="2"/>
      <c r="H23" s="2"/>
      <c r="I23" s="13"/>
    </row>
    <row r="24" spans="1:9">
      <c r="A24" s="2"/>
      <c r="B24" s="2"/>
      <c r="C24" s="2"/>
      <c r="D24" s="2"/>
      <c r="E24" s="2"/>
      <c r="F24" s="2"/>
      <c r="G24" s="2"/>
      <c r="H24" s="2"/>
      <c r="I24" s="13"/>
    </row>
  </sheetData>
  <mergeCells count="2">
    <mergeCell ref="A1:H1"/>
    <mergeCell ref="I3:I14"/>
  </mergeCells>
  <pageMargins left="0.75" right="0.75" top="1" bottom="1" header="0.511805555555556" footer="0.511805555555556"/>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topLeftCell="A4" workbookViewId="0">
      <selection activeCell="B12" sqref="B12:H12"/>
    </sheetView>
  </sheetViews>
  <sheetFormatPr defaultColWidth="9" defaultRowHeight="14.25"/>
  <cols>
    <col min="2" max="2" width="29.375" customWidth="1"/>
    <col min="3" max="3" width="16" customWidth="1"/>
    <col min="5" max="5" width="16.75" customWidth="1"/>
    <col min="6" max="6" width="14.125" customWidth="1"/>
    <col min="7" max="7" width="18.25" customWidth="1"/>
    <col min="8" max="8" width="26.375" customWidth="1"/>
    <col min="9" max="9" width="10.375"/>
  </cols>
  <sheetData>
    <row r="1" ht="20.25" spans="1:8">
      <c r="A1" s="1" t="s">
        <v>1779</v>
      </c>
      <c r="B1" s="1"/>
      <c r="C1" s="1"/>
      <c r="D1" s="1"/>
      <c r="E1" s="1"/>
      <c r="F1" s="1"/>
      <c r="G1" s="1"/>
      <c r="H1" s="1"/>
    </row>
    <row r="2" spans="1:9">
      <c r="A2" s="2" t="s">
        <v>1</v>
      </c>
      <c r="B2" s="2" t="s">
        <v>2</v>
      </c>
      <c r="C2" s="2" t="s">
        <v>1578</v>
      </c>
      <c r="D2" s="2" t="s">
        <v>4</v>
      </c>
      <c r="E2" s="2" t="s">
        <v>1579</v>
      </c>
      <c r="F2" s="2" t="s">
        <v>1580</v>
      </c>
      <c r="G2" s="2" t="s">
        <v>1581</v>
      </c>
      <c r="H2" s="2" t="s">
        <v>1582</v>
      </c>
      <c r="I2" s="13" t="s">
        <v>1583</v>
      </c>
    </row>
    <row r="3" ht="28.5" spans="1:9">
      <c r="A3" s="2">
        <v>1</v>
      </c>
      <c r="B3" s="2" t="s">
        <v>1591</v>
      </c>
      <c r="C3" s="3" t="s">
        <v>1780</v>
      </c>
      <c r="D3" s="2" t="s">
        <v>1557</v>
      </c>
      <c r="E3" s="4"/>
      <c r="F3" s="2" t="s">
        <v>1619</v>
      </c>
      <c r="G3" s="2" t="s">
        <v>1060</v>
      </c>
      <c r="H3" s="2" t="s">
        <v>1558</v>
      </c>
      <c r="I3" s="24" t="s">
        <v>1641</v>
      </c>
    </row>
    <row r="4" ht="28.5" spans="1:9">
      <c r="A4" s="2">
        <v>2</v>
      </c>
      <c r="B4" s="2" t="s">
        <v>1550</v>
      </c>
      <c r="C4" s="3" t="s">
        <v>1767</v>
      </c>
      <c r="D4" s="2" t="s">
        <v>1557</v>
      </c>
      <c r="E4" s="4"/>
      <c r="F4" s="2" t="s">
        <v>1590</v>
      </c>
      <c r="G4" s="2" t="s">
        <v>1060</v>
      </c>
      <c r="H4" s="2" t="s">
        <v>1558</v>
      </c>
      <c r="I4" s="25"/>
    </row>
    <row r="5" ht="28.5" spans="1:9">
      <c r="A5" s="2">
        <v>3</v>
      </c>
      <c r="B5" s="2" t="s">
        <v>1591</v>
      </c>
      <c r="C5" s="3" t="s">
        <v>1781</v>
      </c>
      <c r="D5" s="2" t="s">
        <v>1557</v>
      </c>
      <c r="E5" s="4"/>
      <c r="F5" s="2" t="s">
        <v>1619</v>
      </c>
      <c r="G5" s="2" t="s">
        <v>1599</v>
      </c>
      <c r="H5" s="23">
        <v>43018</v>
      </c>
      <c r="I5" s="25"/>
    </row>
    <row r="6" ht="28.5" spans="1:9">
      <c r="A6" s="2">
        <v>4</v>
      </c>
      <c r="B6" s="2" t="s">
        <v>1550</v>
      </c>
      <c r="C6" s="3" t="s">
        <v>1782</v>
      </c>
      <c r="D6" s="2" t="s">
        <v>1557</v>
      </c>
      <c r="E6" s="4"/>
      <c r="F6" s="2" t="s">
        <v>1590</v>
      </c>
      <c r="G6" s="2" t="s">
        <v>1599</v>
      </c>
      <c r="H6" s="23">
        <v>43018</v>
      </c>
      <c r="I6" s="25"/>
    </row>
    <row r="7" ht="21" customHeight="1" spans="1:9">
      <c r="A7" s="2">
        <v>5</v>
      </c>
      <c r="B7" s="2" t="s">
        <v>1595</v>
      </c>
      <c r="C7" s="2" t="s">
        <v>1783</v>
      </c>
      <c r="D7" s="2" t="s">
        <v>1557</v>
      </c>
      <c r="E7" s="2"/>
      <c r="F7" s="3" t="s">
        <v>1748</v>
      </c>
      <c r="G7" s="2" t="s">
        <v>455</v>
      </c>
      <c r="H7" s="23">
        <v>43018</v>
      </c>
      <c r="I7" s="25"/>
    </row>
    <row r="8" ht="21" customHeight="1" spans="1:9">
      <c r="A8" s="2">
        <v>6</v>
      </c>
      <c r="B8" s="2" t="s">
        <v>1595</v>
      </c>
      <c r="C8" s="2" t="s">
        <v>1784</v>
      </c>
      <c r="D8" s="2" t="s">
        <v>1557</v>
      </c>
      <c r="E8" s="4"/>
      <c r="F8" s="3" t="s">
        <v>1625</v>
      </c>
      <c r="G8" s="2" t="s">
        <v>455</v>
      </c>
      <c r="H8" s="23">
        <v>43018</v>
      </c>
      <c r="I8" s="25"/>
    </row>
    <row r="9" ht="21" customHeight="1" spans="1:9">
      <c r="A9" s="2">
        <v>7</v>
      </c>
      <c r="B9" s="2" t="s">
        <v>1595</v>
      </c>
      <c r="C9" s="2" t="s">
        <v>1785</v>
      </c>
      <c r="D9" s="2" t="s">
        <v>1557</v>
      </c>
      <c r="E9" s="5"/>
      <c r="F9" s="3" t="s">
        <v>1744</v>
      </c>
      <c r="G9" s="2" t="s">
        <v>455</v>
      </c>
      <c r="H9" s="23">
        <v>43018</v>
      </c>
      <c r="I9" s="25"/>
    </row>
    <row r="10" ht="21" customHeight="1" spans="1:9">
      <c r="A10" s="2">
        <v>8</v>
      </c>
      <c r="B10" s="2" t="s">
        <v>1595</v>
      </c>
      <c r="C10" s="2" t="s">
        <v>1786</v>
      </c>
      <c r="D10" s="2" t="s">
        <v>1557</v>
      </c>
      <c r="E10" s="6"/>
      <c r="F10" s="3" t="s">
        <v>1744</v>
      </c>
      <c r="G10" s="2" t="s">
        <v>455</v>
      </c>
      <c r="H10" s="23">
        <v>43018</v>
      </c>
      <c r="I10" s="26"/>
    </row>
    <row r="11" ht="21" customHeight="1" spans="1:9">
      <c r="A11" s="2">
        <v>7</v>
      </c>
      <c r="B11" s="6" t="s">
        <v>1756</v>
      </c>
      <c r="C11" s="2" t="s">
        <v>1787</v>
      </c>
      <c r="D11" s="2"/>
      <c r="E11" s="2"/>
      <c r="F11" s="2" t="s">
        <v>1758</v>
      </c>
      <c r="G11" s="2" t="s">
        <v>1788</v>
      </c>
      <c r="H11" s="2" t="s">
        <v>890</v>
      </c>
      <c r="I11" s="13"/>
    </row>
    <row r="12" ht="21" customHeight="1" spans="1:9">
      <c r="A12" s="2">
        <v>8</v>
      </c>
      <c r="B12" s="6" t="s">
        <v>1760</v>
      </c>
      <c r="C12" s="2" t="s">
        <v>1789</v>
      </c>
      <c r="D12" s="2"/>
      <c r="E12" s="2"/>
      <c r="F12" s="2" t="s">
        <v>1762</v>
      </c>
      <c r="G12" s="2" t="s">
        <v>1755</v>
      </c>
      <c r="H12" s="2" t="s">
        <v>890</v>
      </c>
      <c r="I12" s="13"/>
    </row>
    <row r="13" ht="21" customHeight="1" spans="1:9">
      <c r="A13" s="2">
        <v>9</v>
      </c>
      <c r="B13" s="2"/>
      <c r="C13" s="2"/>
      <c r="D13" s="2"/>
      <c r="E13" s="2"/>
      <c r="F13" s="2"/>
      <c r="G13" s="2"/>
      <c r="H13" s="2"/>
      <c r="I13" s="13"/>
    </row>
    <row r="14" ht="21" customHeight="1" spans="1:9">
      <c r="A14" s="2">
        <v>10</v>
      </c>
      <c r="B14" s="2"/>
      <c r="C14" s="2"/>
      <c r="D14" s="2"/>
      <c r="E14" s="2"/>
      <c r="F14" s="2"/>
      <c r="G14" s="2"/>
      <c r="H14" s="2"/>
      <c r="I14" s="13"/>
    </row>
    <row r="15" spans="1:9">
      <c r="A15" s="2"/>
      <c r="B15" s="2"/>
      <c r="C15" s="2"/>
      <c r="D15" s="2"/>
      <c r="E15" s="2"/>
      <c r="F15" s="2"/>
      <c r="G15" s="2"/>
      <c r="H15" s="2"/>
      <c r="I15" s="13"/>
    </row>
    <row r="16" spans="1:9">
      <c r="A16" s="2"/>
      <c r="B16" s="2"/>
      <c r="C16" s="2"/>
      <c r="D16" s="2"/>
      <c r="E16" s="2"/>
      <c r="F16" s="2"/>
      <c r="G16" s="2"/>
      <c r="H16" s="2"/>
      <c r="I16" s="13"/>
    </row>
    <row r="17" spans="1:9">
      <c r="A17" s="2"/>
      <c r="B17" s="2"/>
      <c r="C17" s="2"/>
      <c r="D17" s="2"/>
      <c r="E17" s="2"/>
      <c r="F17" s="2"/>
      <c r="G17" s="2"/>
      <c r="H17" s="2"/>
      <c r="I17" s="13"/>
    </row>
    <row r="18" spans="1:9">
      <c r="A18" s="2"/>
      <c r="B18" s="2"/>
      <c r="C18" s="2"/>
      <c r="D18" s="2"/>
      <c r="E18" s="2"/>
      <c r="F18" s="2"/>
      <c r="G18" s="2"/>
      <c r="H18" s="2"/>
      <c r="I18" s="13"/>
    </row>
    <row r="19" spans="1:9">
      <c r="A19" s="2"/>
      <c r="B19" s="2"/>
      <c r="C19" s="2"/>
      <c r="D19" s="2"/>
      <c r="E19" s="2"/>
      <c r="F19" s="2"/>
      <c r="G19" s="2"/>
      <c r="H19" s="2"/>
      <c r="I19" s="13"/>
    </row>
    <row r="20" spans="1:9">
      <c r="A20" s="2"/>
      <c r="B20" s="2"/>
      <c r="C20" s="2"/>
      <c r="D20" s="2"/>
      <c r="E20" s="2"/>
      <c r="F20" s="2"/>
      <c r="G20" s="2"/>
      <c r="H20" s="2"/>
      <c r="I20" s="13"/>
    </row>
    <row r="21" spans="1:9">
      <c r="A21" s="2"/>
      <c r="B21" s="2"/>
      <c r="C21" s="2"/>
      <c r="D21" s="2"/>
      <c r="E21" s="2"/>
      <c r="F21" s="2"/>
      <c r="G21" s="2"/>
      <c r="H21" s="2"/>
      <c r="I21" s="13"/>
    </row>
    <row r="22" spans="1:9">
      <c r="A22" s="2"/>
      <c r="B22" s="2"/>
      <c r="C22" s="2"/>
      <c r="D22" s="2"/>
      <c r="E22" s="2"/>
      <c r="F22" s="2"/>
      <c r="G22" s="2"/>
      <c r="H22" s="2"/>
      <c r="I22" s="13"/>
    </row>
  </sheetData>
  <mergeCells count="2">
    <mergeCell ref="A1:H1"/>
    <mergeCell ref="I3:I10"/>
  </mergeCells>
  <pageMargins left="0.75" right="0.75" top="1" bottom="1" header="0.511805555555556" footer="0.511805555555556"/>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5"/>
  <sheetViews>
    <sheetView topLeftCell="A7" workbookViewId="0">
      <selection activeCell="G16" sqref="G16"/>
    </sheetView>
  </sheetViews>
  <sheetFormatPr defaultColWidth="9" defaultRowHeight="14.25"/>
  <cols>
    <col min="1" max="1" width="5.875" style="7" customWidth="1"/>
    <col min="2" max="2" width="22.25" style="16" customWidth="1"/>
    <col min="3" max="3" width="8" style="17" customWidth="1"/>
    <col min="4" max="4" width="7" style="7" customWidth="1"/>
    <col min="5" max="5" width="17.75" style="16" customWidth="1"/>
    <col min="6" max="6" width="17.5" style="7" customWidth="1"/>
    <col min="7" max="7" width="8.625" style="16" customWidth="1"/>
    <col min="8" max="8" width="8.875" style="7" customWidth="1"/>
    <col min="9" max="9" width="10.375" style="7" customWidth="1"/>
    <col min="10" max="10" width="12.25" style="7" customWidth="1"/>
    <col min="11" max="11" width="6.5" style="17" customWidth="1"/>
    <col min="12" max="12" width="5.375" customWidth="1"/>
  </cols>
  <sheetData>
    <row r="1" ht="27" spans="1:14">
      <c r="A1" s="18" t="s">
        <v>1220</v>
      </c>
      <c r="B1" s="18"/>
      <c r="C1" s="18"/>
      <c r="D1" s="18"/>
      <c r="E1" s="18"/>
      <c r="F1" s="18"/>
      <c r="G1" s="18"/>
      <c r="H1" s="18"/>
      <c r="I1" s="18"/>
      <c r="J1" s="18"/>
      <c r="K1" s="18"/>
      <c r="L1" s="18"/>
      <c r="M1" s="21"/>
      <c r="N1" s="21"/>
    </row>
    <row r="2" ht="33.95" customHeight="1" spans="1:12">
      <c r="A2" s="2" t="s">
        <v>1</v>
      </c>
      <c r="B2" s="3" t="s">
        <v>2</v>
      </c>
      <c r="C2" s="19" t="s">
        <v>3</v>
      </c>
      <c r="D2" s="2" t="s">
        <v>4</v>
      </c>
      <c r="E2" s="3" t="s">
        <v>5</v>
      </c>
      <c r="F2" s="2" t="s">
        <v>1221</v>
      </c>
      <c r="G2" s="3" t="s">
        <v>251</v>
      </c>
      <c r="H2" s="3" t="s">
        <v>1222</v>
      </c>
      <c r="I2" s="3" t="s">
        <v>60</v>
      </c>
      <c r="J2" s="2" t="s">
        <v>840</v>
      </c>
      <c r="K2" s="22" t="s">
        <v>1223</v>
      </c>
      <c r="L2" s="2" t="s">
        <v>12</v>
      </c>
    </row>
    <row r="3" ht="51" customHeight="1" spans="1:12">
      <c r="A3" s="2">
        <v>1</v>
      </c>
      <c r="B3" s="3" t="s">
        <v>1224</v>
      </c>
      <c r="C3" s="19" t="s">
        <v>1155</v>
      </c>
      <c r="D3" s="2" t="s">
        <v>255</v>
      </c>
      <c r="E3" s="3" t="s">
        <v>256</v>
      </c>
      <c r="F3" s="3" t="s">
        <v>257</v>
      </c>
      <c r="G3" s="3"/>
      <c r="H3" s="2" t="s">
        <v>1225</v>
      </c>
      <c r="I3" s="2"/>
      <c r="J3" s="2" t="s">
        <v>528</v>
      </c>
      <c r="K3" s="22" t="s">
        <v>1790</v>
      </c>
      <c r="L3" s="2"/>
    </row>
    <row r="4" ht="33" customHeight="1" spans="1:12">
      <c r="A4" s="2">
        <v>2</v>
      </c>
      <c r="B4" s="3" t="s">
        <v>1226</v>
      </c>
      <c r="C4" s="19"/>
      <c r="D4" s="2" t="s">
        <v>255</v>
      </c>
      <c r="E4" s="3" t="s">
        <v>256</v>
      </c>
      <c r="F4" s="3" t="s">
        <v>257</v>
      </c>
      <c r="G4" s="3"/>
      <c r="H4" s="2" t="s">
        <v>1225</v>
      </c>
      <c r="I4" s="2"/>
      <c r="J4" s="2" t="s">
        <v>528</v>
      </c>
      <c r="K4" s="22"/>
      <c r="L4" s="2"/>
    </row>
    <row r="5" ht="33" customHeight="1" spans="1:12">
      <c r="A5" s="2">
        <v>3</v>
      </c>
      <c r="B5" s="3" t="s">
        <v>1227</v>
      </c>
      <c r="C5" s="19"/>
      <c r="D5" s="2" t="s">
        <v>255</v>
      </c>
      <c r="E5" s="3" t="s">
        <v>256</v>
      </c>
      <c r="F5" s="3" t="s">
        <v>257</v>
      </c>
      <c r="G5" s="3"/>
      <c r="H5" s="2" t="s">
        <v>1225</v>
      </c>
      <c r="I5" s="2"/>
      <c r="J5" s="2" t="s">
        <v>528</v>
      </c>
      <c r="K5" s="22"/>
      <c r="L5" s="2"/>
    </row>
    <row r="6" ht="28.5" spans="1:12">
      <c r="A6" s="2">
        <v>4</v>
      </c>
      <c r="B6" s="3" t="s">
        <v>1228</v>
      </c>
      <c r="C6" s="19"/>
      <c r="D6" s="2" t="s">
        <v>255</v>
      </c>
      <c r="E6" s="3" t="s">
        <v>256</v>
      </c>
      <c r="F6" s="3" t="s">
        <v>257</v>
      </c>
      <c r="G6" s="3"/>
      <c r="H6" s="2" t="s">
        <v>1225</v>
      </c>
      <c r="I6" s="2"/>
      <c r="J6" s="2" t="s">
        <v>528</v>
      </c>
      <c r="K6" s="22"/>
      <c r="L6" s="2"/>
    </row>
    <row r="7" ht="28.5" spans="1:12">
      <c r="A7" s="2">
        <v>5</v>
      </c>
      <c r="B7" s="3" t="s">
        <v>1229</v>
      </c>
      <c r="C7" s="19"/>
      <c r="D7" s="2" t="s">
        <v>255</v>
      </c>
      <c r="E7" s="3" t="s">
        <v>256</v>
      </c>
      <c r="F7" s="3" t="s">
        <v>257</v>
      </c>
      <c r="G7" s="3"/>
      <c r="H7" s="2" t="s">
        <v>1225</v>
      </c>
      <c r="I7" s="2"/>
      <c r="J7" s="2" t="s">
        <v>528</v>
      </c>
      <c r="K7" s="22"/>
      <c r="L7" s="2"/>
    </row>
    <row r="8" ht="32.1" customHeight="1" spans="1:12">
      <c r="A8" s="2">
        <v>6</v>
      </c>
      <c r="B8" s="3" t="s">
        <v>1232</v>
      </c>
      <c r="C8" s="19" t="s">
        <v>1233</v>
      </c>
      <c r="D8" s="2" t="s">
        <v>255</v>
      </c>
      <c r="E8" s="3" t="s">
        <v>1234</v>
      </c>
      <c r="F8" s="2" t="s">
        <v>336</v>
      </c>
      <c r="G8" s="3" t="s">
        <v>286</v>
      </c>
      <c r="H8" s="2" t="s">
        <v>583</v>
      </c>
      <c r="I8" s="2" t="s">
        <v>1235</v>
      </c>
      <c r="J8" s="2" t="s">
        <v>353</v>
      </c>
      <c r="K8" s="22"/>
      <c r="L8" s="13"/>
    </row>
    <row r="9" ht="32.1" customHeight="1" spans="1:12">
      <c r="A9" s="2">
        <v>7</v>
      </c>
      <c r="B9" s="3" t="s">
        <v>1236</v>
      </c>
      <c r="C9" s="19" t="s">
        <v>1237</v>
      </c>
      <c r="D9" s="2" t="s">
        <v>255</v>
      </c>
      <c r="E9" s="3" t="s">
        <v>1234</v>
      </c>
      <c r="F9" s="2" t="s">
        <v>336</v>
      </c>
      <c r="G9" s="3" t="s">
        <v>286</v>
      </c>
      <c r="H9" s="2" t="s">
        <v>150</v>
      </c>
      <c r="I9" s="2" t="s">
        <v>580</v>
      </c>
      <c r="J9" s="2" t="s">
        <v>353</v>
      </c>
      <c r="K9" s="22"/>
      <c r="L9" s="13"/>
    </row>
    <row r="10" ht="32.1" customHeight="1" spans="1:12">
      <c r="A10" s="2">
        <v>8</v>
      </c>
      <c r="B10" s="3" t="s">
        <v>1791</v>
      </c>
      <c r="C10" s="19"/>
      <c r="D10" s="2">
        <v>5</v>
      </c>
      <c r="E10" s="3" t="s">
        <v>1234</v>
      </c>
      <c r="F10" s="2" t="s">
        <v>336</v>
      </c>
      <c r="G10" s="3" t="s">
        <v>22</v>
      </c>
      <c r="H10" s="2" t="s">
        <v>150</v>
      </c>
      <c r="I10" s="2" t="s">
        <v>366</v>
      </c>
      <c r="J10" s="2"/>
      <c r="K10" s="22"/>
      <c r="L10" s="13"/>
    </row>
    <row r="11" ht="32.1" customHeight="1" spans="1:12">
      <c r="A11" s="2">
        <v>9</v>
      </c>
      <c r="B11" s="3" t="s">
        <v>1238</v>
      </c>
      <c r="C11" s="19"/>
      <c r="D11" s="2">
        <v>2</v>
      </c>
      <c r="E11" s="2" t="s">
        <v>336</v>
      </c>
      <c r="F11" s="2" t="s">
        <v>284</v>
      </c>
      <c r="G11" s="3" t="s">
        <v>286</v>
      </c>
      <c r="H11" s="2" t="s">
        <v>150</v>
      </c>
      <c r="I11" s="2"/>
      <c r="J11" s="2" t="s">
        <v>908</v>
      </c>
      <c r="K11" s="22"/>
      <c r="L11" s="13"/>
    </row>
    <row r="12" ht="33" customHeight="1" spans="1:12">
      <c r="A12" s="2">
        <v>10</v>
      </c>
      <c r="B12" s="3" t="s">
        <v>1226</v>
      </c>
      <c r="C12" s="19"/>
      <c r="D12" s="2" t="s">
        <v>255</v>
      </c>
      <c r="E12" s="3" t="s">
        <v>256</v>
      </c>
      <c r="F12" s="3" t="s">
        <v>257</v>
      </c>
      <c r="G12" s="3"/>
      <c r="H12" s="2"/>
      <c r="I12" s="2"/>
      <c r="J12" s="2" t="s">
        <v>1788</v>
      </c>
      <c r="K12" s="22"/>
      <c r="L12" s="2"/>
    </row>
    <row r="13" ht="33" customHeight="1" spans="1:12">
      <c r="A13" s="2">
        <v>11</v>
      </c>
      <c r="B13" s="3" t="s">
        <v>1227</v>
      </c>
      <c r="C13" s="19"/>
      <c r="D13" s="2" t="s">
        <v>255</v>
      </c>
      <c r="E13" s="3" t="s">
        <v>256</v>
      </c>
      <c r="F13" s="3" t="s">
        <v>257</v>
      </c>
      <c r="G13" s="3"/>
      <c r="H13" s="2"/>
      <c r="I13" s="2"/>
      <c r="J13" s="2" t="s">
        <v>1788</v>
      </c>
      <c r="K13" s="22"/>
      <c r="L13" s="2"/>
    </row>
    <row r="14" ht="32.1" customHeight="1" spans="2:2">
      <c r="B14" s="20" t="s">
        <v>1239</v>
      </c>
    </row>
    <row r="15" ht="32.1" customHeight="1"/>
  </sheetData>
  <mergeCells count="2">
    <mergeCell ref="A1:L1"/>
    <mergeCell ref="K3:K13"/>
  </mergeCells>
  <pageMargins left="0.235416666666667" right="0.196527777777778" top="0.590277777777778" bottom="1" header="0.511805555555556" footer="0.511805555555556"/>
  <pageSetup paperSize="9" orientation="landscape"/>
  <headerFooter>
    <oddFooter>&amp;C第 &amp;P 页，共 &amp;N 页</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0"/>
  <sheetViews>
    <sheetView topLeftCell="A26" workbookViewId="0">
      <selection activeCell="E39" sqref="E39:G39"/>
    </sheetView>
  </sheetViews>
  <sheetFormatPr defaultColWidth="9" defaultRowHeight="14.25"/>
  <cols>
    <col min="2" max="2" width="29.375" customWidth="1"/>
    <col min="3" max="3" width="12.125" customWidth="1"/>
    <col min="5" max="5" width="16.75" customWidth="1"/>
    <col min="7" max="7" width="18.25" customWidth="1"/>
    <col min="8" max="8" width="26.375" customWidth="1"/>
    <col min="9" max="9" width="10.375"/>
  </cols>
  <sheetData>
    <row r="1" ht="20.25" spans="1:8">
      <c r="A1" s="1" t="s">
        <v>1792</v>
      </c>
      <c r="B1" s="1"/>
      <c r="C1" s="1"/>
      <c r="D1" s="1"/>
      <c r="E1" s="1"/>
      <c r="F1" s="1"/>
      <c r="G1" s="1"/>
      <c r="H1" s="1"/>
    </row>
    <row r="2" spans="1:9">
      <c r="A2" s="2" t="s">
        <v>1</v>
      </c>
      <c r="B2" s="2" t="s">
        <v>2</v>
      </c>
      <c r="C2" s="2" t="s">
        <v>1578</v>
      </c>
      <c r="D2" s="2" t="s">
        <v>4</v>
      </c>
      <c r="E2" s="2" t="s">
        <v>1579</v>
      </c>
      <c r="F2" s="2" t="s">
        <v>1580</v>
      </c>
      <c r="G2" s="2" t="s">
        <v>1581</v>
      </c>
      <c r="H2" s="2" t="s">
        <v>1582</v>
      </c>
      <c r="I2" s="13" t="s">
        <v>1583</v>
      </c>
    </row>
    <row r="3" spans="1:9">
      <c r="A3" s="2">
        <v>1</v>
      </c>
      <c r="B3" s="2"/>
      <c r="C3" s="3"/>
      <c r="D3" s="2"/>
      <c r="E3" s="4"/>
      <c r="F3" s="2"/>
      <c r="G3" s="2"/>
      <c r="H3" s="2"/>
      <c r="I3" s="14"/>
    </row>
    <row r="4" spans="1:9">
      <c r="A4" s="2">
        <v>2</v>
      </c>
      <c r="B4" s="2"/>
      <c r="C4" s="3"/>
      <c r="D4" s="2"/>
      <c r="E4" s="4"/>
      <c r="F4" s="2"/>
      <c r="G4" s="2"/>
      <c r="H4" s="2"/>
      <c r="I4" s="13"/>
    </row>
    <row r="5" spans="1:9">
      <c r="A5" s="2">
        <v>3</v>
      </c>
      <c r="B5" s="2"/>
      <c r="C5" s="2"/>
      <c r="D5" s="2"/>
      <c r="E5" s="4"/>
      <c r="F5" s="2"/>
      <c r="G5" s="2"/>
      <c r="H5" s="2"/>
      <c r="I5" s="13"/>
    </row>
    <row r="6" spans="1:9">
      <c r="A6" s="2">
        <v>4</v>
      </c>
      <c r="B6" s="2"/>
      <c r="C6" s="2"/>
      <c r="D6" s="2"/>
      <c r="E6" s="4"/>
      <c r="F6" s="2"/>
      <c r="G6" s="2"/>
      <c r="H6" s="2"/>
      <c r="I6" s="13"/>
    </row>
    <row r="7" spans="1:9">
      <c r="A7" s="2">
        <v>5</v>
      </c>
      <c r="B7" s="5"/>
      <c r="C7" s="5"/>
      <c r="D7" s="5"/>
      <c r="E7" s="5"/>
      <c r="F7" s="5"/>
      <c r="G7" s="5"/>
      <c r="H7" s="5"/>
      <c r="I7" s="13"/>
    </row>
    <row r="8" spans="1:9">
      <c r="A8" s="6">
        <v>6</v>
      </c>
      <c r="B8" s="6"/>
      <c r="C8" s="6"/>
      <c r="D8" s="6"/>
      <c r="E8" s="6"/>
      <c r="F8" s="6"/>
      <c r="G8" s="6"/>
      <c r="H8" s="6"/>
      <c r="I8" s="13"/>
    </row>
    <row r="9" spans="1:9">
      <c r="A9" s="2">
        <v>7</v>
      </c>
      <c r="B9" s="3"/>
      <c r="C9" s="2"/>
      <c r="D9" s="2"/>
      <c r="E9" s="2"/>
      <c r="F9" s="2"/>
      <c r="G9" s="2"/>
      <c r="H9" s="2"/>
      <c r="I9" s="13"/>
    </row>
    <row r="10" spans="1:9">
      <c r="A10" s="2">
        <v>8</v>
      </c>
      <c r="B10" s="3"/>
      <c r="C10" s="2"/>
      <c r="D10" s="2"/>
      <c r="E10" s="2"/>
      <c r="F10" s="2"/>
      <c r="G10" s="2"/>
      <c r="H10" s="2"/>
      <c r="I10" s="13"/>
    </row>
    <row r="11" spans="1:10">
      <c r="A11" s="7"/>
      <c r="B11" s="7"/>
      <c r="C11" s="7"/>
      <c r="D11" s="7"/>
      <c r="E11" s="7"/>
      <c r="F11" s="7"/>
      <c r="G11" s="7"/>
      <c r="H11" s="7"/>
      <c r="I11" s="7"/>
      <c r="J11" s="15"/>
    </row>
    <row r="12" spans="1:9">
      <c r="A12" s="2" t="s">
        <v>1</v>
      </c>
      <c r="B12" s="2" t="s">
        <v>2</v>
      </c>
      <c r="C12" s="2" t="s">
        <v>1578</v>
      </c>
      <c r="D12" s="2" t="s">
        <v>4</v>
      </c>
      <c r="E12" s="8" t="s">
        <v>1793</v>
      </c>
      <c r="F12" s="9"/>
      <c r="G12" s="9"/>
      <c r="H12" s="10" t="s">
        <v>1794</v>
      </c>
      <c r="I12" s="13" t="s">
        <v>1795</v>
      </c>
    </row>
    <row r="13" ht="21" spans="1:9">
      <c r="A13" s="2">
        <v>1</v>
      </c>
      <c r="B13" s="2" t="s">
        <v>1796</v>
      </c>
      <c r="C13" s="11" t="s">
        <v>1797</v>
      </c>
      <c r="D13" s="2">
        <v>1</v>
      </c>
      <c r="E13" s="8" t="s">
        <v>1798</v>
      </c>
      <c r="F13" s="9"/>
      <c r="G13" s="12"/>
      <c r="H13" s="2" t="s">
        <v>1799</v>
      </c>
      <c r="I13" s="13" t="s">
        <v>432</v>
      </c>
    </row>
    <row r="14" ht="21" spans="1:9">
      <c r="A14" s="2">
        <v>2</v>
      </c>
      <c r="B14" s="2" t="s">
        <v>1796</v>
      </c>
      <c r="C14" s="11" t="s">
        <v>1800</v>
      </c>
      <c r="D14" s="2">
        <v>1</v>
      </c>
      <c r="E14" s="8" t="s">
        <v>1801</v>
      </c>
      <c r="F14" s="9"/>
      <c r="G14" s="12"/>
      <c r="H14" s="2" t="s">
        <v>1802</v>
      </c>
      <c r="I14" s="13" t="s">
        <v>434</v>
      </c>
    </row>
    <row r="15" ht="21" spans="1:9">
      <c r="A15" s="2">
        <v>3</v>
      </c>
      <c r="B15" s="2" t="s">
        <v>1796</v>
      </c>
      <c r="C15" s="11" t="s">
        <v>1803</v>
      </c>
      <c r="D15" s="2">
        <v>1</v>
      </c>
      <c r="E15" s="8" t="s">
        <v>1804</v>
      </c>
      <c r="F15" s="9"/>
      <c r="G15" s="12"/>
      <c r="H15" s="2" t="s">
        <v>1805</v>
      </c>
      <c r="I15" s="13" t="s">
        <v>434</v>
      </c>
    </row>
    <row r="16" ht="21" spans="1:9">
      <c r="A16" s="2">
        <v>4</v>
      </c>
      <c r="B16" s="2" t="s">
        <v>1796</v>
      </c>
      <c r="C16" s="11" t="s">
        <v>1806</v>
      </c>
      <c r="D16" s="2">
        <v>1</v>
      </c>
      <c r="E16" s="8" t="s">
        <v>1807</v>
      </c>
      <c r="F16" s="9"/>
      <c r="G16" s="12"/>
      <c r="H16" s="2" t="s">
        <v>1808</v>
      </c>
      <c r="I16" s="13" t="s">
        <v>434</v>
      </c>
    </row>
    <row r="17" ht="21" spans="1:9">
      <c r="A17" s="2">
        <v>5</v>
      </c>
      <c r="B17" s="2" t="s">
        <v>1796</v>
      </c>
      <c r="C17" s="11" t="s">
        <v>1809</v>
      </c>
      <c r="D17" s="2">
        <v>4</v>
      </c>
      <c r="E17" s="8" t="s">
        <v>1801</v>
      </c>
      <c r="F17" s="9"/>
      <c r="G17" s="12"/>
      <c r="H17" s="2" t="s">
        <v>108</v>
      </c>
      <c r="I17" s="13" t="s">
        <v>890</v>
      </c>
    </row>
    <row r="18" ht="21" spans="1:9">
      <c r="A18" s="2">
        <v>6</v>
      </c>
      <c r="B18" s="2" t="s">
        <v>1796</v>
      </c>
      <c r="C18" s="11" t="s">
        <v>1810</v>
      </c>
      <c r="D18" s="2">
        <v>4</v>
      </c>
      <c r="E18" s="8" t="s">
        <v>1811</v>
      </c>
      <c r="F18" s="9"/>
      <c r="G18" s="12"/>
      <c r="H18" s="2" t="s">
        <v>434</v>
      </c>
      <c r="I18" s="13" t="s">
        <v>890</v>
      </c>
    </row>
    <row r="19" ht="21" spans="1:9">
      <c r="A19" s="2">
        <v>7</v>
      </c>
      <c r="B19" s="2" t="s">
        <v>1796</v>
      </c>
      <c r="C19" s="11" t="s">
        <v>1812</v>
      </c>
      <c r="D19" s="2">
        <v>4</v>
      </c>
      <c r="E19" s="8" t="s">
        <v>1798</v>
      </c>
      <c r="F19" s="9"/>
      <c r="G19" s="12"/>
      <c r="H19" s="2" t="s">
        <v>1209</v>
      </c>
      <c r="I19" s="13" t="s">
        <v>890</v>
      </c>
    </row>
    <row r="20" ht="21" spans="1:9">
      <c r="A20" s="2">
        <v>8</v>
      </c>
      <c r="B20" s="2" t="s">
        <v>1796</v>
      </c>
      <c r="C20" s="11" t="s">
        <v>1813</v>
      </c>
      <c r="D20" s="2">
        <v>4</v>
      </c>
      <c r="E20" s="8" t="s">
        <v>1814</v>
      </c>
      <c r="F20" s="9"/>
      <c r="G20" s="12"/>
      <c r="H20" s="2" t="s">
        <v>1815</v>
      </c>
      <c r="I20" s="13" t="s">
        <v>890</v>
      </c>
    </row>
    <row r="21" ht="21" spans="1:9">
      <c r="A21" s="2">
        <v>9</v>
      </c>
      <c r="B21" s="2" t="s">
        <v>1796</v>
      </c>
      <c r="C21" s="11" t="s">
        <v>1816</v>
      </c>
      <c r="D21" s="2">
        <v>4</v>
      </c>
      <c r="E21" s="8" t="s">
        <v>1817</v>
      </c>
      <c r="F21" s="9"/>
      <c r="G21" s="12"/>
      <c r="H21" s="2" t="s">
        <v>1818</v>
      </c>
      <c r="I21" s="13" t="s">
        <v>890</v>
      </c>
    </row>
    <row r="22" ht="21" spans="1:9">
      <c r="A22" s="2">
        <v>10</v>
      </c>
      <c r="B22" s="2" t="s">
        <v>1796</v>
      </c>
      <c r="C22" s="11" t="s">
        <v>1819</v>
      </c>
      <c r="D22" s="2">
        <v>4</v>
      </c>
      <c r="E22" s="8" t="s">
        <v>1811</v>
      </c>
      <c r="F22" s="9"/>
      <c r="G22" s="12"/>
      <c r="H22" s="2" t="s">
        <v>1818</v>
      </c>
      <c r="I22" s="13" t="s">
        <v>890</v>
      </c>
    </row>
    <row r="23" ht="21" spans="1:9">
      <c r="A23" s="2">
        <v>11</v>
      </c>
      <c r="B23" s="2" t="s">
        <v>1796</v>
      </c>
      <c r="C23" s="11" t="s">
        <v>1820</v>
      </c>
      <c r="D23" s="2">
        <v>4</v>
      </c>
      <c r="E23" s="8" t="s">
        <v>1798</v>
      </c>
      <c r="F23" s="9"/>
      <c r="G23" s="12"/>
      <c r="H23" s="2" t="s">
        <v>1821</v>
      </c>
      <c r="I23" s="13" t="s">
        <v>890</v>
      </c>
    </row>
    <row r="24" ht="21" spans="1:9">
      <c r="A24" s="2">
        <v>12</v>
      </c>
      <c r="B24" s="2" t="s">
        <v>1796</v>
      </c>
      <c r="C24" s="11" t="s">
        <v>1822</v>
      </c>
      <c r="D24" s="2">
        <v>4</v>
      </c>
      <c r="E24" s="8" t="s">
        <v>1823</v>
      </c>
      <c r="F24" s="9"/>
      <c r="G24" s="12"/>
      <c r="H24" s="2" t="s">
        <v>1824</v>
      </c>
      <c r="I24" s="13" t="s">
        <v>890</v>
      </c>
    </row>
    <row r="25" ht="21" spans="1:9">
      <c r="A25" s="2">
        <v>13</v>
      </c>
      <c r="B25" s="2" t="s">
        <v>1796</v>
      </c>
      <c r="C25" s="11" t="s">
        <v>1825</v>
      </c>
      <c r="D25" s="2">
        <v>4</v>
      </c>
      <c r="E25" s="8" t="s">
        <v>1826</v>
      </c>
      <c r="F25" s="9"/>
      <c r="G25" s="12"/>
      <c r="H25" s="2" t="s">
        <v>1827</v>
      </c>
      <c r="I25" s="13" t="s">
        <v>890</v>
      </c>
    </row>
    <row r="26" ht="21" spans="1:9">
      <c r="A26" s="2">
        <v>14</v>
      </c>
      <c r="B26" s="2" t="s">
        <v>1796</v>
      </c>
      <c r="C26" s="11" t="s">
        <v>1812</v>
      </c>
      <c r="D26" s="2">
        <v>4</v>
      </c>
      <c r="E26" s="8" t="s">
        <v>1828</v>
      </c>
      <c r="F26" s="9"/>
      <c r="G26" s="12"/>
      <c r="H26" s="2" t="s">
        <v>1827</v>
      </c>
      <c r="I26" s="13" t="s">
        <v>890</v>
      </c>
    </row>
    <row r="27" ht="21" spans="1:9">
      <c r="A27" s="2">
        <v>15</v>
      </c>
      <c r="B27" s="2" t="s">
        <v>1796</v>
      </c>
      <c r="C27" s="11" t="s">
        <v>1813</v>
      </c>
      <c r="D27" s="2">
        <v>4</v>
      </c>
      <c r="E27" s="8" t="s">
        <v>1798</v>
      </c>
      <c r="F27" s="9"/>
      <c r="G27" s="12"/>
      <c r="H27" s="2" t="s">
        <v>1087</v>
      </c>
      <c r="I27" s="13" t="s">
        <v>890</v>
      </c>
    </row>
    <row r="28" ht="21" spans="1:9">
      <c r="A28" s="2">
        <v>16</v>
      </c>
      <c r="B28" s="2" t="s">
        <v>1796</v>
      </c>
      <c r="C28" s="11" t="s">
        <v>1829</v>
      </c>
      <c r="D28" s="2">
        <v>4</v>
      </c>
      <c r="E28" s="8" t="s">
        <v>1830</v>
      </c>
      <c r="F28" s="9"/>
      <c r="G28" s="12"/>
      <c r="H28" s="2" t="s">
        <v>1831</v>
      </c>
      <c r="I28" s="13" t="s">
        <v>890</v>
      </c>
    </row>
    <row r="29" ht="21" spans="1:9">
      <c r="A29" s="2">
        <v>17</v>
      </c>
      <c r="B29" s="2" t="s">
        <v>1796</v>
      </c>
      <c r="C29" s="11" t="s">
        <v>1832</v>
      </c>
      <c r="D29" s="2">
        <v>4</v>
      </c>
      <c r="E29" s="8" t="s">
        <v>1833</v>
      </c>
      <c r="F29" s="9"/>
      <c r="G29" s="12"/>
      <c r="H29" s="2" t="s">
        <v>1831</v>
      </c>
      <c r="I29" s="13" t="s">
        <v>890</v>
      </c>
    </row>
    <row r="30" ht="21" spans="1:9">
      <c r="A30" s="2">
        <v>18</v>
      </c>
      <c r="B30" s="2" t="s">
        <v>1796</v>
      </c>
      <c r="C30" s="11" t="s">
        <v>1834</v>
      </c>
      <c r="D30" s="2">
        <v>4</v>
      </c>
      <c r="E30" s="8" t="s">
        <v>1830</v>
      </c>
      <c r="F30" s="9"/>
      <c r="G30" s="12"/>
      <c r="H30" s="2" t="s">
        <v>1835</v>
      </c>
      <c r="I30" s="13" t="s">
        <v>890</v>
      </c>
    </row>
    <row r="31" ht="21" spans="1:9">
      <c r="A31" s="2">
        <v>19</v>
      </c>
      <c r="B31" s="2" t="s">
        <v>1796</v>
      </c>
      <c r="C31" s="11" t="s">
        <v>1836</v>
      </c>
      <c r="D31" s="2">
        <v>4</v>
      </c>
      <c r="E31" s="8" t="s">
        <v>1837</v>
      </c>
      <c r="F31" s="9"/>
      <c r="G31" s="12"/>
      <c r="H31" s="2" t="s">
        <v>1835</v>
      </c>
      <c r="I31" s="13" t="s">
        <v>890</v>
      </c>
    </row>
    <row r="32" ht="21" spans="1:9">
      <c r="A32" s="2">
        <v>20</v>
      </c>
      <c r="B32" s="2" t="s">
        <v>1796</v>
      </c>
      <c r="C32" s="11" t="s">
        <v>1838</v>
      </c>
      <c r="D32" s="2">
        <v>4</v>
      </c>
      <c r="E32" s="8" t="s">
        <v>1798</v>
      </c>
      <c r="F32" s="9"/>
      <c r="G32" s="12"/>
      <c r="H32" s="2" t="s">
        <v>1839</v>
      </c>
      <c r="I32" s="13" t="s">
        <v>890</v>
      </c>
    </row>
    <row r="33" ht="21" spans="1:9">
      <c r="A33" s="2">
        <v>21</v>
      </c>
      <c r="B33" s="2" t="s">
        <v>1796</v>
      </c>
      <c r="C33" s="11" t="s">
        <v>1840</v>
      </c>
      <c r="D33" s="2">
        <v>4</v>
      </c>
      <c r="E33" s="8" t="s">
        <v>1837</v>
      </c>
      <c r="F33" s="9"/>
      <c r="G33" s="12"/>
      <c r="H33" s="2" t="s">
        <v>1841</v>
      </c>
      <c r="I33" s="13" t="s">
        <v>890</v>
      </c>
    </row>
    <row r="34" ht="21" spans="1:9">
      <c r="A34" s="2">
        <v>22</v>
      </c>
      <c r="B34" s="2" t="s">
        <v>1796</v>
      </c>
      <c r="C34" s="11" t="s">
        <v>1842</v>
      </c>
      <c r="D34" s="2">
        <v>4</v>
      </c>
      <c r="E34" s="2" t="s">
        <v>1830</v>
      </c>
      <c r="F34" s="2"/>
      <c r="G34" s="2"/>
      <c r="H34" s="2" t="s">
        <v>1841</v>
      </c>
      <c r="I34" s="13" t="s">
        <v>890</v>
      </c>
    </row>
    <row r="35" ht="21" spans="1:9">
      <c r="A35" s="2">
        <v>23</v>
      </c>
      <c r="B35" s="2" t="s">
        <v>1796</v>
      </c>
      <c r="C35" s="11" t="s">
        <v>1843</v>
      </c>
      <c r="D35" s="2">
        <v>4</v>
      </c>
      <c r="E35" s="8" t="s">
        <v>1823</v>
      </c>
      <c r="F35" s="9"/>
      <c r="G35" s="12"/>
      <c r="H35" s="2" t="s">
        <v>1844</v>
      </c>
      <c r="I35" s="13" t="s">
        <v>890</v>
      </c>
    </row>
    <row r="36" ht="21" spans="1:9">
      <c r="A36" s="2">
        <v>24</v>
      </c>
      <c r="B36" s="2" t="s">
        <v>1796</v>
      </c>
      <c r="C36" s="11" t="s">
        <v>1845</v>
      </c>
      <c r="D36" s="2">
        <v>4</v>
      </c>
      <c r="E36" s="8" t="s">
        <v>1846</v>
      </c>
      <c r="F36" s="9"/>
      <c r="G36" s="12"/>
      <c r="H36" s="2" t="s">
        <v>1847</v>
      </c>
      <c r="I36" s="13" t="s">
        <v>890</v>
      </c>
    </row>
    <row r="37" ht="21" spans="1:9">
      <c r="A37" s="2">
        <v>25</v>
      </c>
      <c r="B37" s="2" t="s">
        <v>1796</v>
      </c>
      <c r="C37" s="11" t="s">
        <v>1848</v>
      </c>
      <c r="D37" s="2">
        <v>4</v>
      </c>
      <c r="E37" s="8" t="s">
        <v>1849</v>
      </c>
      <c r="F37" s="9"/>
      <c r="G37" s="12"/>
      <c r="H37" s="2" t="s">
        <v>1847</v>
      </c>
      <c r="I37" s="13" t="s">
        <v>890</v>
      </c>
    </row>
    <row r="38" ht="21" spans="1:9">
      <c r="A38" s="2">
        <v>26</v>
      </c>
      <c r="B38" s="2" t="s">
        <v>1796</v>
      </c>
      <c r="C38" s="11" t="s">
        <v>1850</v>
      </c>
      <c r="D38" s="2">
        <v>4</v>
      </c>
      <c r="E38" s="8" t="s">
        <v>1851</v>
      </c>
      <c r="F38" s="9"/>
      <c r="G38" s="12"/>
      <c r="H38" s="2" t="s">
        <v>1852</v>
      </c>
      <c r="I38" s="13" t="s">
        <v>890</v>
      </c>
    </row>
    <row r="39" ht="21" spans="1:9">
      <c r="A39" s="2">
        <v>27</v>
      </c>
      <c r="B39" s="2" t="s">
        <v>1796</v>
      </c>
      <c r="C39" s="11" t="s">
        <v>1853</v>
      </c>
      <c r="D39" s="2">
        <v>4</v>
      </c>
      <c r="E39" s="8" t="s">
        <v>1854</v>
      </c>
      <c r="F39" s="9"/>
      <c r="G39" s="12"/>
      <c r="H39" s="2" t="s">
        <v>1855</v>
      </c>
      <c r="I39" s="13" t="s">
        <v>890</v>
      </c>
    </row>
    <row r="40" spans="1:9">
      <c r="A40" s="2">
        <v>28</v>
      </c>
      <c r="B40" s="2"/>
      <c r="C40" s="13"/>
      <c r="D40" s="13"/>
      <c r="E40" s="8"/>
      <c r="F40" s="9"/>
      <c r="G40" s="12"/>
      <c r="H40" s="13"/>
      <c r="I40" s="13"/>
    </row>
  </sheetData>
  <mergeCells count="31">
    <mergeCell ref="A1:H1"/>
    <mergeCell ref="A11:I11"/>
    <mergeCell ref="E12:G12"/>
    <mergeCell ref="E13:G13"/>
    <mergeCell ref="E14:G14"/>
    <mergeCell ref="E15:G15"/>
    <mergeCell ref="E16:G16"/>
    <mergeCell ref="E17:G17"/>
    <mergeCell ref="E18:G18"/>
    <mergeCell ref="E19:G19"/>
    <mergeCell ref="E20:G20"/>
    <mergeCell ref="E21:G21"/>
    <mergeCell ref="E22:G22"/>
    <mergeCell ref="E23:G23"/>
    <mergeCell ref="E24:G24"/>
    <mergeCell ref="E25:G25"/>
    <mergeCell ref="E26:G26"/>
    <mergeCell ref="E27:G27"/>
    <mergeCell ref="E28:G28"/>
    <mergeCell ref="E29:G29"/>
    <mergeCell ref="E30:G30"/>
    <mergeCell ref="E31:G31"/>
    <mergeCell ref="E32:G32"/>
    <mergeCell ref="E33:G33"/>
    <mergeCell ref="E34:G34"/>
    <mergeCell ref="E35:G35"/>
    <mergeCell ref="E36:G36"/>
    <mergeCell ref="E37:G37"/>
    <mergeCell ref="E38:G38"/>
    <mergeCell ref="E39:G39"/>
    <mergeCell ref="E40:G40"/>
  </mergeCells>
  <pageMargins left="0.75" right="0.75" top="1" bottom="1" header="0.511805555555556" footer="0.511805555555556"/>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sheetData/>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38</vt:i4>
      </vt:variant>
    </vt:vector>
  </HeadingPairs>
  <TitlesOfParts>
    <vt:vector size="38" baseType="lpstr">
      <vt:lpstr>Q-01号文件盒（进度款）</vt:lpstr>
      <vt:lpstr>Q-03现场经济签证单</vt:lpstr>
      <vt:lpstr>变更资料</vt:lpstr>
      <vt:lpstr>G-01号甲方、政府下发文件</vt:lpstr>
      <vt:lpstr>G-02号文件盒报告单及回复单</vt:lpstr>
      <vt:lpstr>G-03号文件盒（合同文件）</vt:lpstr>
      <vt:lpstr>招投标文件</vt:lpstr>
      <vt:lpstr>G-004号文件盒（施工月报）</vt:lpstr>
      <vt:lpstr>G-005号文件盒（施工周进度计划资料）</vt:lpstr>
      <vt:lpstr>G-07监理会议纪要</vt:lpstr>
      <vt:lpstr>G-08号文件盒(监理通知）</vt:lpstr>
      <vt:lpstr>G-10号文件盒应急预案</vt:lpstr>
      <vt:lpstr>J-1号文件盒开工资料李均碧拿走</vt:lpstr>
      <vt:lpstr>J-2号文件盒 分部工程开工资料</vt:lpstr>
      <vt:lpstr>J-05图纸会审纪要</vt:lpstr>
      <vt:lpstr>J-07号文件盒设计单位来文（设计修改通知单）</vt:lpstr>
      <vt:lpstr>J-06复测资料</vt:lpstr>
      <vt:lpstr>J-03号文件盒 （检测公司资质及配合比报告）</vt:lpstr>
      <vt:lpstr>岩头上隧洞资料</vt:lpstr>
      <vt:lpstr>新房子隧洞</vt:lpstr>
      <vt:lpstr>大坪头A隧洞</vt:lpstr>
      <vt:lpstr>大坪头B隧洞 </vt:lpstr>
      <vt:lpstr>童家崖隧洞</vt:lpstr>
      <vt:lpstr>扇子坝隧洞</vt:lpstr>
      <vt:lpstr>陶田铺隧洞</vt:lpstr>
      <vt:lpstr>冷杉湾隧洞</vt:lpstr>
      <vt:lpstr>荒坡隧洞</vt:lpstr>
      <vt:lpstr>J-10狗颈子1#隧洞工序资料</vt:lpstr>
      <vt:lpstr>J-11狗颈子2#隧洞工序资料</vt:lpstr>
      <vt:lpstr>兔儿苞隧洞</vt:lpstr>
      <vt:lpstr>杜家村隧洞</vt:lpstr>
      <vt:lpstr>岩头上弃渣场资料</vt:lpstr>
      <vt:lpstr>水工Ⅰ明暗渠</vt:lpstr>
      <vt:lpstr>水工Ⅱ明暗渠</vt:lpstr>
      <vt:lpstr>水工Ⅲ明暗渠</vt:lpstr>
      <vt:lpstr>G-10号文件盒应急预案 (2)</vt:lpstr>
      <vt:lpstr>朱家沟倒虹管</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2017-05-11T03:44:00Z</dcterms:created>
  <dcterms:modified xsi:type="dcterms:W3CDTF">2018-09-26T10:37:51Z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2052-10.1.0.7469</vt:lpwstr>
  </property>
</Properties>
</file>