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G:\长阳谷\"/>
    </mc:Choice>
  </mc:AlternateContent>
  <bookViews>
    <workbookView xWindow="0" yWindow="465" windowWidth="28800" windowHeight="16335" tabRatio="500"/>
  </bookViews>
  <sheets>
    <sheet name="工作表1" sheetId="6" r:id="rId1"/>
  </sheets>
  <definedNames>
    <definedName name="_xlnm.Print_Area" localSheetId="0">工作表1!$A$1:$I$60</definedName>
  </definedNames>
  <calcPr calcId="152511"/>
</workbook>
</file>

<file path=xl/calcChain.xml><?xml version="1.0" encoding="utf-8"?>
<calcChain xmlns="http://schemas.openxmlformats.org/spreadsheetml/2006/main">
  <c r="E47" i="6" l="1"/>
  <c r="E21" i="6" l="1"/>
  <c r="E20" i="6"/>
  <c r="E14" i="6"/>
  <c r="E13" i="6"/>
  <c r="E7" i="6"/>
  <c r="E6" i="6"/>
  <c r="E5" i="6"/>
  <c r="E4" i="6"/>
  <c r="E33" i="6"/>
  <c r="E32" i="6"/>
  <c r="E31" i="6"/>
  <c r="E30" i="6"/>
  <c r="E29" i="6"/>
  <c r="E28" i="6"/>
  <c r="E27" i="6"/>
  <c r="E22" i="6" l="1"/>
  <c r="E34" i="6"/>
  <c r="E8" i="6"/>
  <c r="E15" i="6"/>
</calcChain>
</file>

<file path=xl/sharedStrings.xml><?xml version="1.0" encoding="utf-8"?>
<sst xmlns="http://schemas.openxmlformats.org/spreadsheetml/2006/main" count="97" uniqueCount="74">
  <si>
    <t>名称</t>
  </si>
  <si>
    <t>尺寸／mm</t>
  </si>
  <si>
    <t>单价／元</t>
  </si>
  <si>
    <t>数量／个</t>
  </si>
  <si>
    <t>总价／元</t>
  </si>
  <si>
    <t>供货周期</t>
  </si>
  <si>
    <t>线管</t>
    <phoneticPr fontId="6" type="noConversion"/>
  </si>
  <si>
    <t>线盒</t>
    <phoneticPr fontId="6" type="noConversion"/>
  </si>
  <si>
    <t>锁扣</t>
    <phoneticPr fontId="6" type="noConversion"/>
  </si>
  <si>
    <t>线盒螺丝</t>
    <phoneticPr fontId="6" type="noConversion"/>
  </si>
  <si>
    <t>2.5干壁钉</t>
    <phoneticPr fontId="6" type="noConversion"/>
  </si>
  <si>
    <t>胶布</t>
    <phoneticPr fontId="6" type="noConversion"/>
  </si>
  <si>
    <t>250*3000</t>
    <phoneticPr fontId="6" type="noConversion"/>
  </si>
  <si>
    <t>总计</t>
    <phoneticPr fontId="6" type="noConversion"/>
  </si>
  <si>
    <t>电线报价表</t>
    <rPh sb="2" eb="3">
      <t>lei</t>
    </rPh>
    <phoneticPr fontId="6" type="noConversion"/>
  </si>
  <si>
    <t>品牌</t>
    <phoneticPr fontId="6" type="noConversion"/>
  </si>
  <si>
    <t>2.5平方电线</t>
    <phoneticPr fontId="6" type="noConversion"/>
  </si>
  <si>
    <t>4平方电线</t>
    <phoneticPr fontId="6" type="noConversion"/>
  </si>
  <si>
    <t>10平方电缆</t>
    <phoneticPr fontId="6" type="noConversion"/>
  </si>
  <si>
    <t>熊猫</t>
    <phoneticPr fontId="6" type="noConversion"/>
  </si>
  <si>
    <t>施耐德</t>
    <phoneticPr fontId="6" type="noConversion"/>
  </si>
  <si>
    <t>灯具报价表</t>
    <rPh sb="2" eb="3">
      <t>lei</t>
    </rPh>
    <phoneticPr fontId="6" type="noConversion"/>
  </si>
  <si>
    <t>格栅灯</t>
    <phoneticPr fontId="6" type="noConversion"/>
  </si>
  <si>
    <t>日光灯盘</t>
    <phoneticPr fontId="6" type="noConversion"/>
  </si>
  <si>
    <t>开关面板报价表</t>
    <rPh sb="2" eb="3">
      <t>lei</t>
    </rPh>
    <phoneticPr fontId="6" type="noConversion"/>
  </si>
  <si>
    <t>办公室插座面板</t>
    <phoneticPr fontId="6" type="noConversion"/>
  </si>
  <si>
    <t>灯具开关面板</t>
    <phoneticPr fontId="6" type="noConversion"/>
  </si>
  <si>
    <t>公牛</t>
    <phoneticPr fontId="6" type="noConversion"/>
  </si>
  <si>
    <t>工期</t>
    <phoneticPr fontId="6" type="noConversion"/>
  </si>
  <si>
    <t>人工报价表</t>
    <rPh sb="2" eb="3">
      <t>lei</t>
    </rPh>
    <phoneticPr fontId="6" type="noConversion"/>
  </si>
  <si>
    <t>项目名称</t>
    <phoneticPr fontId="6" type="noConversion"/>
  </si>
  <si>
    <t>项目内容</t>
    <phoneticPr fontId="6" type="noConversion"/>
  </si>
  <si>
    <t>墙体拆除</t>
    <phoneticPr fontId="6" type="noConversion"/>
  </si>
  <si>
    <t>墙面+地面保护</t>
    <phoneticPr fontId="6" type="noConversion"/>
  </si>
  <si>
    <t>一周</t>
    <phoneticPr fontId="6" type="noConversion"/>
  </si>
  <si>
    <t>地面开槽+走线</t>
    <phoneticPr fontId="6" type="noConversion"/>
  </si>
  <si>
    <t>配电箱+配件</t>
    <phoneticPr fontId="6" type="noConversion"/>
  </si>
  <si>
    <t>长阳谷总报价表</t>
    <rPh sb="2" eb="3">
      <t>lei</t>
    </rPh>
    <phoneticPr fontId="6" type="noConversion"/>
  </si>
  <si>
    <t>项目</t>
    <phoneticPr fontId="6" type="noConversion"/>
  </si>
  <si>
    <t>人工</t>
    <phoneticPr fontId="6" type="noConversion"/>
  </si>
  <si>
    <t>总价/元</t>
    <phoneticPr fontId="6" type="noConversion"/>
  </si>
  <si>
    <t>工程量</t>
    <phoneticPr fontId="6" type="noConversion"/>
  </si>
  <si>
    <t>单价/元</t>
    <phoneticPr fontId="6" type="noConversion"/>
  </si>
  <si>
    <t>60平方</t>
    <phoneticPr fontId="6" type="noConversion"/>
  </si>
  <si>
    <t>辅材配件类报价表</t>
    <rPh sb="2" eb="3">
      <t>lei</t>
    </rPh>
    <phoneticPr fontId="6" type="noConversion"/>
  </si>
  <si>
    <t>安装项目</t>
    <phoneticPr fontId="6" type="noConversion"/>
  </si>
  <si>
    <t>电线</t>
    <phoneticPr fontId="6" type="noConversion"/>
  </si>
  <si>
    <t>灯具</t>
    <phoneticPr fontId="6" type="noConversion"/>
  </si>
  <si>
    <t>开关面板</t>
    <phoneticPr fontId="6" type="noConversion"/>
  </si>
  <si>
    <t>辅材配件</t>
    <phoneticPr fontId="6" type="noConversion"/>
  </si>
  <si>
    <t>备注</t>
    <phoneticPr fontId="6" type="noConversion"/>
  </si>
  <si>
    <r>
      <t>1卷</t>
    </r>
    <r>
      <rPr>
        <sz val="12"/>
        <color indexed="8"/>
        <rFont val="微软雅黑"/>
        <family val="2"/>
        <charset val="134"/>
      </rPr>
      <t>100米</t>
    </r>
    <phoneticPr fontId="6" type="noConversion"/>
  </si>
  <si>
    <t>数量／卷</t>
    <phoneticPr fontId="6" type="noConversion"/>
  </si>
  <si>
    <t>单位按米算</t>
    <phoneticPr fontId="6" type="noConversion"/>
  </si>
  <si>
    <t>金光树</t>
    <phoneticPr fontId="6" type="noConversion"/>
  </si>
  <si>
    <t>珊芸</t>
    <phoneticPr fontId="6" type="noConversion"/>
  </si>
  <si>
    <r>
      <t>6</t>
    </r>
    <r>
      <rPr>
        <sz val="12"/>
        <color indexed="8"/>
        <rFont val="微软雅黑"/>
        <family val="2"/>
        <charset val="134"/>
      </rPr>
      <t>00*600mm,T5,30W</t>
    </r>
    <phoneticPr fontId="6" type="noConversion"/>
  </si>
  <si>
    <r>
      <t>9</t>
    </r>
    <r>
      <rPr>
        <sz val="12"/>
        <color indexed="8"/>
        <rFont val="微软雅黑"/>
        <family val="2"/>
        <charset val="134"/>
      </rPr>
      <t>00*100mm，15w</t>
    </r>
    <phoneticPr fontId="6" type="noConversion"/>
  </si>
  <si>
    <t>暂定每张桌子一个</t>
    <phoneticPr fontId="6" type="noConversion"/>
  </si>
  <si>
    <t>单位按根算，一根3米</t>
    <phoneticPr fontId="6" type="noConversion"/>
  </si>
  <si>
    <t>直接接头</t>
    <phoneticPr fontId="6" type="noConversion"/>
  </si>
  <si>
    <r>
      <t>墙体拆除+垃圾清运+垃圾袋（包括垃圾封存</t>
    </r>
    <r>
      <rPr>
        <sz val="12"/>
        <color indexed="8"/>
        <rFont val="微软雅黑"/>
        <family val="2"/>
        <charset val="134"/>
      </rPr>
      <t>+</t>
    </r>
    <r>
      <rPr>
        <sz val="12"/>
        <color indexed="8"/>
        <rFont val="微软雅黑"/>
        <family val="2"/>
        <charset val="134"/>
      </rPr>
      <t>拆除工具</t>
    </r>
    <r>
      <rPr>
        <sz val="12"/>
        <color indexed="8"/>
        <rFont val="微软雅黑"/>
        <family val="2"/>
        <charset val="134"/>
      </rPr>
      <t>+</t>
    </r>
    <r>
      <rPr>
        <sz val="12"/>
        <color indexed="8"/>
        <rFont val="微软雅黑"/>
        <family val="2"/>
        <charset val="134"/>
      </rPr>
      <t>运送到物业指定地点）</t>
    </r>
    <phoneticPr fontId="6" type="noConversion"/>
  </si>
  <si>
    <r>
      <t>需3个工人，拆除3天，每个工人每天工作</t>
    </r>
    <r>
      <rPr>
        <sz val="12"/>
        <color indexed="8"/>
        <rFont val="微软雅黑"/>
        <family val="2"/>
        <charset val="134"/>
      </rPr>
      <t>10个小时，每天每人360元</t>
    </r>
    <phoneticPr fontId="6" type="noConversion"/>
  </si>
  <si>
    <t>所有墙面+地面的施工保护（保护原有白色乳胶漆墙面）</t>
    <phoneticPr fontId="6" type="noConversion"/>
  </si>
  <si>
    <t>二楼地面开槽，预埋线管及穿线
增加二楼配电箱，新增电缆至二楼</t>
    <phoneticPr fontId="6" type="noConversion"/>
  </si>
  <si>
    <t>灯+桌面插座面板+灯具开关面板+原有玻璃丝印贴膜清除+所有插座面板开关调试</t>
    <phoneticPr fontId="6" type="noConversion"/>
  </si>
  <si>
    <r>
      <t>需</t>
    </r>
    <r>
      <rPr>
        <sz val="12"/>
        <color indexed="8"/>
        <rFont val="微软雅黑"/>
        <family val="2"/>
        <charset val="134"/>
      </rPr>
      <t>2个电工，</t>
    </r>
    <r>
      <rPr>
        <sz val="12"/>
        <color indexed="8"/>
        <rFont val="微软雅黑"/>
        <family val="2"/>
        <charset val="134"/>
      </rPr>
      <t>每个工人每天工作</t>
    </r>
    <r>
      <rPr>
        <sz val="12"/>
        <color indexed="8"/>
        <rFont val="微软雅黑"/>
        <family val="2"/>
        <charset val="134"/>
      </rPr>
      <t>10个小时，每天每人360元</t>
    </r>
    <phoneticPr fontId="6" type="noConversion"/>
  </si>
  <si>
    <t>三周
（插座面板安装及桌面穿线需等到家具到达现场并且安装完毕后才能开始）</t>
    <phoneticPr fontId="6" type="noConversion"/>
  </si>
  <si>
    <t>网络线线管安装到位</t>
    <phoneticPr fontId="6" type="noConversion"/>
  </si>
  <si>
    <t>备注</t>
    <phoneticPr fontId="6" type="noConversion"/>
  </si>
  <si>
    <t>垃圾清运和物业装修押金另算</t>
    <phoneticPr fontId="6" type="noConversion"/>
  </si>
  <si>
    <r>
      <t>增值税1</t>
    </r>
    <r>
      <rPr>
        <sz val="12"/>
        <color indexed="8"/>
        <rFont val="微软雅黑"/>
        <family val="2"/>
        <charset val="134"/>
      </rPr>
      <t>3.6%</t>
    </r>
    <phoneticPr fontId="6" type="noConversion"/>
  </si>
  <si>
    <t>合计</t>
    <phoneticPr fontId="6" type="noConversion"/>
  </si>
  <si>
    <t>总价</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</si>
</sst>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2">
    <font>
      <sz val="12"/>
      <color theme="1"/>
      <name val="DengXian"/>
      <charset val="134"/>
    </font>
    <font>
      <sz val="18"/>
      <color indexed="8"/>
      <name val="微软雅黑"/>
      <family val="2"/>
      <charset val="134"/>
    </font>
    <font>
      <sz val="14"/>
      <color indexed="8"/>
      <name val="微软雅黑"/>
      <family val="2"/>
      <charset val="134"/>
    </font>
    <font>
      <sz val="14"/>
      <color indexed="10"/>
      <name val="微软雅黑"/>
      <family val="2"/>
      <charset val="134"/>
    </font>
    <font>
      <sz val="12"/>
      <color indexed="8"/>
      <name val="微软雅黑"/>
      <family val="2"/>
      <charset val="134"/>
    </font>
    <font>
      <sz val="12"/>
      <color indexed="10"/>
      <name val="微软雅黑"/>
      <family val="2"/>
      <charset val="134"/>
    </font>
    <font>
      <sz val="9"/>
      <name val="DengXian"/>
      <charset val="134"/>
    </font>
    <font>
      <sz val="18"/>
      <color indexed="8"/>
      <name val="微软雅黑"/>
      <family val="2"/>
      <charset val="134"/>
    </font>
    <font>
      <sz val="12"/>
      <color indexed="8"/>
      <name val="微软雅黑"/>
      <family val="2"/>
      <charset val="134"/>
    </font>
    <font>
      <sz val="12"/>
      <color indexed="10"/>
      <name val="微软雅黑"/>
      <family val="2"/>
      <charset val="134"/>
    </font>
    <font>
      <sz val="12"/>
      <color theme="1"/>
      <name val="微软雅黑"/>
      <family val="2"/>
      <charset val="134"/>
    </font>
    <font>
      <sz val="12"/>
      <color rgb="FFFF0000"/>
      <name val="微软雅黑"/>
      <family val="2"/>
      <charset val="134"/>
    </font>
  </fonts>
  <fills count="4">
    <fill>
      <patternFill patternType="none"/>
    </fill>
    <fill>
      <patternFill patternType="gray125"/>
    </fill>
    <fill>
      <patternFill patternType="solid">
        <fgColor indexed="22"/>
        <bgColor indexed="64"/>
      </patternFill>
    </fill>
    <fill>
      <patternFill patternType="solid">
        <fgColor indexed="13"/>
        <bgColor indexed="64"/>
      </patternFill>
    </fill>
  </fills>
  <borders count="25">
    <border>
      <left/>
      <right/>
      <top/>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05">
    <xf numFmtId="0" fontId="0" fillId="0" borderId="0" xfId="0"/>
    <xf numFmtId="0" fontId="3" fillId="0" borderId="1" xfId="0" applyFont="1"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0" borderId="2" xfId="0" applyFont="1" applyBorder="1" applyAlignment="1">
      <alignment horizontal="center" vertical="center"/>
    </xf>
    <xf numFmtId="0" fontId="4" fillId="0" borderId="3" xfId="0" applyFont="1" applyBorder="1" applyAlignment="1">
      <alignment horizontal="center" vertical="center"/>
    </xf>
    <xf numFmtId="0" fontId="0" fillId="0" borderId="5" xfId="0" applyBorder="1"/>
    <xf numFmtId="0" fontId="5" fillId="0" borderId="5" xfId="0" applyFont="1" applyBorder="1" applyAlignment="1">
      <alignment horizontal="center" vertical="center"/>
    </xf>
    <xf numFmtId="0" fontId="0" fillId="0" borderId="6" xfId="0" applyBorder="1"/>
    <xf numFmtId="0" fontId="2" fillId="0" borderId="0" xfId="0" applyFont="1" applyBorder="1" applyAlignment="1">
      <alignment horizontal="center" vertical="center"/>
    </xf>
    <xf numFmtId="0" fontId="3" fillId="0" borderId="0" xfId="0" applyFont="1" applyBorder="1" applyAlignment="1">
      <alignment horizontal="center" vertical="center"/>
    </xf>
    <xf numFmtId="0" fontId="2" fillId="0" borderId="0" xfId="0" applyFont="1" applyFill="1" applyBorder="1" applyAlignment="1">
      <alignment horizontal="center" vertical="center"/>
    </xf>
    <xf numFmtId="0" fontId="3" fillId="0" borderId="0" xfId="0" applyFont="1" applyFill="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5" fillId="0" borderId="8" xfId="0" applyFont="1" applyBorder="1" applyAlignment="1">
      <alignment horizontal="center"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8" fillId="0" borderId="3" xfId="0" applyFont="1" applyBorder="1" applyAlignment="1">
      <alignment horizont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1" xfId="0" applyFont="1" applyBorder="1" applyAlignment="1">
      <alignment horizontal="center"/>
    </xf>
    <xf numFmtId="0" fontId="8" fillId="0" borderId="5" xfId="0" applyFont="1" applyBorder="1" applyAlignment="1">
      <alignment horizontal="center"/>
    </xf>
    <xf numFmtId="0" fontId="8" fillId="0" borderId="6" xfId="0" applyFont="1" applyBorder="1" applyAlignment="1">
      <alignment horizontal="center"/>
    </xf>
    <xf numFmtId="0" fontId="8" fillId="0" borderId="1"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9" fillId="0" borderId="5" xfId="0" applyFont="1" applyBorder="1" applyAlignment="1">
      <alignment horizontal="center" vertical="center"/>
    </xf>
    <xf numFmtId="0" fontId="8" fillId="2" borderId="9"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11" xfId="0" applyFont="1" applyFill="1" applyBorder="1" applyAlignment="1">
      <alignment horizontal="center" vertical="center"/>
    </xf>
    <xf numFmtId="0" fontId="8" fillId="0" borderId="2" xfId="0" applyFont="1" applyBorder="1" applyAlignment="1">
      <alignment horizontal="center"/>
    </xf>
    <xf numFmtId="0" fontId="9" fillId="0" borderId="5" xfId="0" applyFont="1" applyBorder="1" applyAlignment="1">
      <alignment horizontal="center"/>
    </xf>
    <xf numFmtId="0" fontId="8" fillId="0" borderId="1" xfId="0" applyFont="1" applyFill="1" applyBorder="1" applyAlignment="1">
      <alignment horizontal="center" vertical="center"/>
    </xf>
    <xf numFmtId="0" fontId="8" fillId="0" borderId="0" xfId="0" applyFont="1" applyBorder="1" applyAlignment="1">
      <alignment horizontal="center"/>
    </xf>
    <xf numFmtId="0" fontId="9" fillId="0" borderId="0" xfId="0" applyFont="1" applyBorder="1" applyAlignment="1">
      <alignment horizontal="center"/>
    </xf>
    <xf numFmtId="0" fontId="8" fillId="0" borderId="3" xfId="0" applyFont="1" applyBorder="1" applyAlignment="1">
      <alignment horizontal="center" vertical="center" wrapText="1"/>
    </xf>
    <xf numFmtId="0" fontId="8" fillId="0" borderId="4" xfId="0" applyFont="1" applyBorder="1" applyAlignment="1">
      <alignment horizontal="center" vertical="center"/>
    </xf>
    <xf numFmtId="0" fontId="8" fillId="0" borderId="4" xfId="0" applyFont="1" applyBorder="1" applyAlignment="1">
      <alignment horizontal="center"/>
    </xf>
    <xf numFmtId="0" fontId="8" fillId="0" borderId="14" xfId="0" applyFont="1" applyBorder="1" applyAlignment="1">
      <alignment vertical="center"/>
    </xf>
    <xf numFmtId="0" fontId="8" fillId="0" borderId="4" xfId="0" applyFont="1" applyBorder="1" applyAlignment="1">
      <alignment vertical="center"/>
    </xf>
    <xf numFmtId="0" fontId="8" fillId="0" borderId="14" xfId="0" applyFont="1" applyBorder="1" applyAlignment="1">
      <alignment horizontal="center"/>
    </xf>
    <xf numFmtId="0" fontId="4" fillId="0" borderId="14" xfId="0" applyFont="1" applyBorder="1" applyAlignment="1">
      <alignment vertical="center"/>
    </xf>
    <xf numFmtId="0" fontId="4" fillId="0" borderId="4" xfId="0" applyFont="1" applyBorder="1" applyAlignment="1">
      <alignment vertical="center"/>
    </xf>
    <xf numFmtId="0" fontId="4" fillId="0" borderId="4" xfId="0" applyFont="1" applyBorder="1" applyAlignment="1">
      <alignment horizontal="center" vertical="center"/>
    </xf>
    <xf numFmtId="0" fontId="9" fillId="0" borderId="5" xfId="0" applyFont="1" applyBorder="1" applyAlignment="1">
      <alignment horizontal="center" vertical="center"/>
    </xf>
    <xf numFmtId="0" fontId="8" fillId="0" borderId="13" xfId="0" applyFont="1" applyBorder="1" applyAlignment="1">
      <alignment horizontal="center" vertical="center"/>
    </xf>
    <xf numFmtId="0" fontId="8" fillId="0" borderId="21" xfId="0" applyFont="1" applyBorder="1" applyAlignment="1">
      <alignment horizontal="center" vertical="center"/>
    </xf>
    <xf numFmtId="0" fontId="4" fillId="0" borderId="8" xfId="0" applyFont="1" applyBorder="1" applyAlignment="1">
      <alignment horizontal="center" vertical="center" wrapText="1"/>
    </xf>
    <xf numFmtId="0" fontId="4" fillId="0" borderId="1" xfId="0" applyFont="1" applyFill="1" applyBorder="1" applyAlignment="1">
      <alignment horizontal="center"/>
    </xf>
    <xf numFmtId="0" fontId="4" fillId="0" borderId="2" xfId="0" applyFont="1" applyBorder="1" applyAlignment="1">
      <alignment horizontal="center"/>
    </xf>
    <xf numFmtId="0" fontId="8" fillId="2" borderId="2" xfId="0" applyFont="1" applyFill="1" applyBorder="1" applyAlignment="1">
      <alignment horizontal="center"/>
    </xf>
    <xf numFmtId="0" fontId="4" fillId="0" borderId="2" xfId="0" applyFont="1" applyFill="1" applyBorder="1" applyAlignment="1">
      <alignment horizont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8" fillId="0" borderId="3" xfId="0" applyFont="1" applyBorder="1" applyAlignment="1">
      <alignment horizontal="center"/>
    </xf>
    <xf numFmtId="0" fontId="8" fillId="0" borderId="4" xfId="0" applyFont="1" applyBorder="1" applyAlignment="1">
      <alignment horizontal="center"/>
    </xf>
    <xf numFmtId="0" fontId="4" fillId="0" borderId="3"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8" xfId="0" applyFont="1" applyBorder="1" applyAlignment="1">
      <alignment horizontal="center" vertical="center"/>
    </xf>
    <xf numFmtId="0" fontId="8" fillId="0" borderId="16" xfId="0" applyFont="1" applyBorder="1" applyAlignment="1">
      <alignment horizontal="center" vertical="center"/>
    </xf>
    <xf numFmtId="0" fontId="8" fillId="0" borderId="12" xfId="0" applyFont="1" applyBorder="1" applyAlignment="1">
      <alignment horizontal="center" vertical="center"/>
    </xf>
    <xf numFmtId="0" fontId="8" fillId="0" borderId="13" xfId="0" applyFont="1" applyBorder="1" applyAlignment="1">
      <alignment horizontal="center" vertical="center"/>
    </xf>
    <xf numFmtId="0" fontId="8" fillId="0" borderId="14" xfId="0" applyFont="1" applyBorder="1" applyAlignment="1">
      <alignment horizontal="center" vertical="center"/>
    </xf>
    <xf numFmtId="0" fontId="8" fillId="0" borderId="7" xfId="0" applyFont="1" applyBorder="1" applyAlignment="1">
      <alignment horizontal="center" vertical="center"/>
    </xf>
    <xf numFmtId="0" fontId="8" fillId="0" borderId="15" xfId="0" applyFont="1" applyBorder="1" applyAlignment="1">
      <alignment horizontal="center" vertical="center"/>
    </xf>
    <xf numFmtId="0" fontId="8" fillId="0" borderId="8" xfId="0" applyFont="1" applyBorder="1" applyAlignment="1">
      <alignment horizontal="center" vertical="center" wrapText="1"/>
    </xf>
    <xf numFmtId="0" fontId="8" fillId="0" borderId="16" xfId="0" applyFont="1" applyBorder="1" applyAlignment="1">
      <alignment horizontal="center" vertical="center" wrapText="1"/>
    </xf>
    <xf numFmtId="0" fontId="8" fillId="0" borderId="17" xfId="0" applyFont="1" applyBorder="1" applyAlignment="1">
      <alignment horizontal="center" vertical="center"/>
    </xf>
    <xf numFmtId="0" fontId="8" fillId="0" borderId="19" xfId="0" applyFont="1" applyBorder="1" applyAlignment="1">
      <alignment horizontal="center" vertical="center"/>
    </xf>
    <xf numFmtId="0" fontId="8" fillId="0" borderId="17" xfId="0" applyFont="1" applyBorder="1" applyAlignment="1">
      <alignment horizontal="center" vertical="center" wrapText="1"/>
    </xf>
    <xf numFmtId="0" fontId="8" fillId="0" borderId="18" xfId="0" applyFont="1" applyBorder="1" applyAlignment="1">
      <alignment horizontal="center" vertical="center" wrapText="1"/>
    </xf>
    <xf numFmtId="0" fontId="8" fillId="0" borderId="19"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5" xfId="0" applyFont="1" applyBorder="1" applyAlignment="1">
      <alignment horizontal="center" vertical="center"/>
    </xf>
    <xf numFmtId="0" fontId="1" fillId="3" borderId="9" xfId="0" applyFont="1" applyFill="1" applyBorder="1" applyAlignment="1">
      <alignment horizontal="center" vertical="center"/>
    </xf>
    <xf numFmtId="0" fontId="1" fillId="3" borderId="10" xfId="0" applyFont="1" applyFill="1" applyBorder="1" applyAlignment="1">
      <alignment horizontal="center" vertical="center"/>
    </xf>
    <xf numFmtId="0" fontId="1" fillId="3" borderId="11"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12" xfId="0" applyFont="1" applyFill="1" applyBorder="1" applyAlignment="1">
      <alignment horizontal="center" vertical="center"/>
    </xf>
    <xf numFmtId="0" fontId="8" fillId="2" borderId="3" xfId="0" applyFont="1" applyFill="1" applyBorder="1" applyAlignment="1">
      <alignment horizontal="center" vertical="center"/>
    </xf>
    <xf numFmtId="0" fontId="8" fillId="2" borderId="4" xfId="0" applyFont="1" applyFill="1" applyBorder="1" applyAlignment="1">
      <alignment horizontal="center" vertical="center"/>
    </xf>
    <xf numFmtId="0" fontId="8" fillId="0" borderId="12" xfId="0" applyFont="1" applyBorder="1" applyAlignment="1">
      <alignment horizontal="center" vertical="center" wrapText="1"/>
    </xf>
    <xf numFmtId="0" fontId="8" fillId="0" borderId="22" xfId="0" applyFont="1" applyBorder="1" applyAlignment="1">
      <alignment horizontal="center" vertical="center" wrapText="1"/>
    </xf>
    <xf numFmtId="0" fontId="8" fillId="0" borderId="23" xfId="0" applyFont="1" applyBorder="1" applyAlignment="1">
      <alignment horizontal="center" vertical="center" wrapText="1"/>
    </xf>
    <xf numFmtId="0" fontId="8" fillId="0" borderId="24" xfId="0" applyFont="1" applyBorder="1" applyAlignment="1">
      <alignment horizontal="center" vertical="center"/>
    </xf>
    <xf numFmtId="0" fontId="7" fillId="3" borderId="9" xfId="0" applyFont="1" applyFill="1" applyBorder="1" applyAlignment="1">
      <alignment horizontal="center" vertical="center"/>
    </xf>
    <xf numFmtId="0" fontId="7" fillId="3" borderId="10" xfId="0" applyFont="1" applyFill="1" applyBorder="1" applyAlignment="1">
      <alignment horizontal="center" vertical="center"/>
    </xf>
    <xf numFmtId="0" fontId="7" fillId="3" borderId="11" xfId="0" applyFont="1" applyFill="1" applyBorder="1" applyAlignment="1">
      <alignment horizontal="center" vertical="center"/>
    </xf>
    <xf numFmtId="0" fontId="7" fillId="3" borderId="2"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4" xfId="0" applyFont="1" applyFill="1" applyBorder="1" applyAlignment="1">
      <alignment horizontal="center" vertical="center"/>
    </xf>
    <xf numFmtId="0" fontId="7" fillId="3" borderId="7" xfId="0" applyFont="1" applyFill="1" applyBorder="1" applyAlignment="1">
      <alignment horizontal="center" vertical="center"/>
    </xf>
    <xf numFmtId="0" fontId="7" fillId="3" borderId="8" xfId="0" applyFont="1" applyFill="1" applyBorder="1" applyAlignment="1">
      <alignment horizontal="center" vertical="center"/>
    </xf>
    <xf numFmtId="0" fontId="7" fillId="3" borderId="12"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4" xfId="0" applyFont="1" applyFill="1" applyBorder="1" applyAlignment="1">
      <alignment horizontal="center" vertical="center"/>
    </xf>
    <xf numFmtId="0" fontId="4" fillId="2" borderId="0" xfId="0" applyFont="1" applyFill="1" applyBorder="1" applyAlignment="1">
      <alignment horizontal="center" vertical="center"/>
    </xf>
  </cellXfs>
  <cellStyles count="1">
    <cellStyle name="常规"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DengXian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DengXian"/>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tabSelected="1" view="pageBreakPreview" zoomScale="60" zoomScaleNormal="100" workbookViewId="0">
      <selection activeCell="M22" sqref="M22"/>
    </sheetView>
  </sheetViews>
  <sheetFormatPr defaultColWidth="11" defaultRowHeight="14.25"/>
  <cols>
    <col min="1" max="1" width="21.5" customWidth="1"/>
    <col min="2" max="2" width="19.75" customWidth="1"/>
    <col min="3" max="3" width="11.125" customWidth="1"/>
    <col min="4" max="4" width="13.125" customWidth="1"/>
    <col min="6" max="6" width="26.625" customWidth="1"/>
  </cols>
  <sheetData>
    <row r="1" spans="1:13" ht="20.25">
      <c r="A1" s="92" t="s">
        <v>14</v>
      </c>
      <c r="B1" s="93"/>
      <c r="C1" s="93"/>
      <c r="D1" s="93"/>
      <c r="E1" s="93"/>
      <c r="F1" s="94"/>
      <c r="J1" s="10"/>
      <c r="K1" s="10"/>
      <c r="L1" s="10"/>
      <c r="M1" s="10"/>
    </row>
    <row r="2" spans="1:13" ht="15.75" customHeight="1">
      <c r="A2" s="95"/>
      <c r="B2" s="96"/>
      <c r="C2" s="96"/>
      <c r="D2" s="96"/>
      <c r="E2" s="96"/>
      <c r="F2" s="97"/>
      <c r="J2" s="10"/>
      <c r="K2" s="10"/>
    </row>
    <row r="3" spans="1:13" ht="20.25">
      <c r="A3" s="17" t="s">
        <v>0</v>
      </c>
      <c r="B3" s="18" t="s">
        <v>15</v>
      </c>
      <c r="C3" s="18" t="s">
        <v>2</v>
      </c>
      <c r="D3" s="18" t="s">
        <v>52</v>
      </c>
      <c r="E3" s="18" t="s">
        <v>4</v>
      </c>
      <c r="F3" s="19" t="s">
        <v>50</v>
      </c>
      <c r="J3" s="10"/>
      <c r="K3" s="10"/>
    </row>
    <row r="4" spans="1:13" ht="20.25">
      <c r="A4" s="22" t="s">
        <v>16</v>
      </c>
      <c r="B4" s="21" t="s">
        <v>19</v>
      </c>
      <c r="C4" s="21">
        <v>198</v>
      </c>
      <c r="D4" s="21">
        <v>9</v>
      </c>
      <c r="E4" s="21">
        <f>D4*C4</f>
        <v>1782</v>
      </c>
      <c r="F4" s="66" t="s">
        <v>51</v>
      </c>
      <c r="J4" s="10"/>
      <c r="K4" s="10"/>
    </row>
    <row r="5" spans="1:13" ht="20.25">
      <c r="A5" s="22" t="s">
        <v>17</v>
      </c>
      <c r="B5" s="21" t="s">
        <v>19</v>
      </c>
      <c r="C5" s="21">
        <v>308</v>
      </c>
      <c r="D5" s="21">
        <v>16</v>
      </c>
      <c r="E5" s="21">
        <f>D5*C5</f>
        <v>4928</v>
      </c>
      <c r="F5" s="68"/>
      <c r="J5" s="10"/>
      <c r="K5" s="10"/>
    </row>
    <row r="6" spans="1:13" ht="20.25">
      <c r="A6" s="22" t="s">
        <v>18</v>
      </c>
      <c r="B6" s="21" t="s">
        <v>19</v>
      </c>
      <c r="C6" s="21">
        <v>45</v>
      </c>
      <c r="D6" s="21">
        <v>10</v>
      </c>
      <c r="E6" s="21">
        <f>D6*C6</f>
        <v>450</v>
      </c>
      <c r="F6" s="39" t="s">
        <v>53</v>
      </c>
      <c r="J6" s="11"/>
      <c r="K6" s="10"/>
    </row>
    <row r="7" spans="1:13" ht="17.25">
      <c r="A7" s="22" t="s">
        <v>36</v>
      </c>
      <c r="B7" s="21" t="s">
        <v>20</v>
      </c>
      <c r="C7" s="21">
        <v>3000</v>
      </c>
      <c r="D7" s="21">
        <v>1</v>
      </c>
      <c r="E7" s="21">
        <f>D7*C7</f>
        <v>3000</v>
      </c>
      <c r="F7" s="42"/>
    </row>
    <row r="8" spans="1:13" ht="18" thickBot="1">
      <c r="A8" s="26" t="s">
        <v>13</v>
      </c>
      <c r="B8" s="27"/>
      <c r="C8" s="27"/>
      <c r="D8" s="27"/>
      <c r="E8" s="29">
        <f>SUM(E4:E7)</f>
        <v>10160</v>
      </c>
      <c r="F8" s="28"/>
    </row>
    <row r="9" spans="1:13" ht="15" thickBot="1"/>
    <row r="10" spans="1:13">
      <c r="A10" s="92" t="s">
        <v>21</v>
      </c>
      <c r="B10" s="93"/>
      <c r="C10" s="93"/>
      <c r="D10" s="93"/>
      <c r="E10" s="93"/>
      <c r="F10" s="94"/>
    </row>
    <row r="11" spans="1:13" ht="15.75" customHeight="1" thickBot="1">
      <c r="A11" s="98"/>
      <c r="B11" s="99"/>
      <c r="C11" s="99"/>
      <c r="D11" s="99"/>
      <c r="E11" s="99"/>
      <c r="F11" s="100"/>
    </row>
    <row r="12" spans="1:13" ht="17.25">
      <c r="A12" s="30" t="s">
        <v>0</v>
      </c>
      <c r="B12" s="31" t="s">
        <v>15</v>
      </c>
      <c r="C12" s="31" t="s">
        <v>2</v>
      </c>
      <c r="D12" s="31" t="s">
        <v>3</v>
      </c>
      <c r="E12" s="31" t="s">
        <v>4</v>
      </c>
      <c r="F12" s="32" t="s">
        <v>50</v>
      </c>
      <c r="J12" s="104"/>
      <c r="K12" s="104"/>
    </row>
    <row r="13" spans="1:13" ht="17.25">
      <c r="A13" s="33" t="s">
        <v>22</v>
      </c>
      <c r="B13" s="20" t="s">
        <v>54</v>
      </c>
      <c r="C13" s="20">
        <v>98</v>
      </c>
      <c r="D13" s="20">
        <v>4</v>
      </c>
      <c r="E13" s="20">
        <f>D13*C13</f>
        <v>392</v>
      </c>
      <c r="F13" s="40" t="s">
        <v>56</v>
      </c>
    </row>
    <row r="14" spans="1:13" ht="17.25">
      <c r="A14" s="33" t="s">
        <v>23</v>
      </c>
      <c r="B14" s="20" t="s">
        <v>55</v>
      </c>
      <c r="C14" s="20">
        <v>90</v>
      </c>
      <c r="D14" s="20">
        <v>15</v>
      </c>
      <c r="E14" s="20">
        <f>D14*C14</f>
        <v>1350</v>
      </c>
      <c r="F14" s="43" t="s">
        <v>57</v>
      </c>
    </row>
    <row r="15" spans="1:13" ht="18.75" customHeight="1" thickBot="1">
      <c r="A15" s="23" t="s">
        <v>13</v>
      </c>
      <c r="B15" s="24"/>
      <c r="C15" s="24"/>
      <c r="D15" s="24"/>
      <c r="E15" s="34">
        <f>SUM(E13:E14)</f>
        <v>1742</v>
      </c>
      <c r="F15" s="25"/>
    </row>
    <row r="16" spans="1:13" ht="15.95" customHeight="1" thickBot="1"/>
    <row r="17" spans="1:14" ht="15.95" customHeight="1">
      <c r="A17" s="80" t="s">
        <v>24</v>
      </c>
      <c r="B17" s="81"/>
      <c r="C17" s="81"/>
      <c r="D17" s="81"/>
      <c r="E17" s="81"/>
      <c r="F17" s="82"/>
    </row>
    <row r="18" spans="1:14" ht="15.75" customHeight="1" thickBot="1">
      <c r="A18" s="83"/>
      <c r="B18" s="84"/>
      <c r="C18" s="84"/>
      <c r="D18" s="84"/>
      <c r="E18" s="84"/>
      <c r="F18" s="85"/>
    </row>
    <row r="19" spans="1:14" ht="17.25">
      <c r="A19" s="30" t="s">
        <v>0</v>
      </c>
      <c r="B19" s="31" t="s">
        <v>15</v>
      </c>
      <c r="C19" s="31" t="s">
        <v>2</v>
      </c>
      <c r="D19" s="31" t="s">
        <v>3</v>
      </c>
      <c r="E19" s="31" t="s">
        <v>4</v>
      </c>
      <c r="F19" s="32" t="s">
        <v>5</v>
      </c>
    </row>
    <row r="20" spans="1:14" ht="17.25">
      <c r="A20" s="22" t="s">
        <v>25</v>
      </c>
      <c r="B20" s="21" t="s">
        <v>20</v>
      </c>
      <c r="C20" s="21">
        <v>25</v>
      </c>
      <c r="D20" s="21">
        <v>47</v>
      </c>
      <c r="E20" s="21">
        <f>D20*C20</f>
        <v>1175</v>
      </c>
      <c r="F20" s="39" t="s">
        <v>58</v>
      </c>
    </row>
    <row r="21" spans="1:14" ht="17.25">
      <c r="A21" s="22" t="s">
        <v>26</v>
      </c>
      <c r="B21" s="21" t="s">
        <v>27</v>
      </c>
      <c r="C21" s="21">
        <v>12</v>
      </c>
      <c r="D21" s="21">
        <v>7</v>
      </c>
      <c r="E21" s="21">
        <f>D21*C21</f>
        <v>84</v>
      </c>
      <c r="F21" s="41"/>
    </row>
    <row r="22" spans="1:14" ht="18" thickBot="1">
      <c r="A22" s="23" t="s">
        <v>13</v>
      </c>
      <c r="B22" s="24"/>
      <c r="C22" s="24"/>
      <c r="D22" s="24"/>
      <c r="E22" s="34">
        <f>SUM(E20:E21)</f>
        <v>1259</v>
      </c>
      <c r="F22" s="25"/>
    </row>
    <row r="23" spans="1:14" ht="18" thickBot="1">
      <c r="A23" s="36"/>
      <c r="B23" s="36"/>
      <c r="C23" s="36"/>
      <c r="D23" s="36"/>
      <c r="E23" s="37"/>
      <c r="F23" s="36"/>
    </row>
    <row r="24" spans="1:14">
      <c r="A24" s="80" t="s">
        <v>44</v>
      </c>
      <c r="B24" s="81"/>
      <c r="C24" s="81"/>
      <c r="D24" s="81"/>
      <c r="E24" s="81"/>
      <c r="F24" s="82"/>
    </row>
    <row r="25" spans="1:14">
      <c r="A25" s="101"/>
      <c r="B25" s="102"/>
      <c r="C25" s="102"/>
      <c r="D25" s="102"/>
      <c r="E25" s="102"/>
      <c r="F25" s="103"/>
    </row>
    <row r="26" spans="1:14" ht="17.25">
      <c r="A26" s="2" t="s">
        <v>0</v>
      </c>
      <c r="B26" s="3" t="s">
        <v>1</v>
      </c>
      <c r="C26" s="3" t="s">
        <v>2</v>
      </c>
      <c r="D26" s="3" t="s">
        <v>3</v>
      </c>
      <c r="E26" s="3" t="s">
        <v>4</v>
      </c>
      <c r="F26" s="4" t="s">
        <v>5</v>
      </c>
    </row>
    <row r="27" spans="1:14" ht="20.25">
      <c r="A27" s="5" t="s">
        <v>6</v>
      </c>
      <c r="B27" s="6" t="s">
        <v>12</v>
      </c>
      <c r="C27" s="6">
        <v>4</v>
      </c>
      <c r="D27" s="6">
        <v>60</v>
      </c>
      <c r="E27" s="6">
        <f t="shared" ref="E27:E33" si="0">D27*C27</f>
        <v>240</v>
      </c>
      <c r="F27" s="46" t="s">
        <v>59</v>
      </c>
      <c r="K27" s="12"/>
      <c r="L27" s="12"/>
      <c r="M27" s="12"/>
      <c r="N27" s="12"/>
    </row>
    <row r="28" spans="1:14" ht="20.25">
      <c r="A28" s="5" t="s">
        <v>7</v>
      </c>
      <c r="B28" s="6"/>
      <c r="C28" s="6">
        <v>2</v>
      </c>
      <c r="D28" s="6">
        <v>100</v>
      </c>
      <c r="E28" s="6">
        <f t="shared" si="0"/>
        <v>200</v>
      </c>
      <c r="F28" s="45"/>
      <c r="K28" s="12"/>
      <c r="L28" s="12"/>
      <c r="M28" s="12"/>
      <c r="N28" s="12"/>
    </row>
    <row r="29" spans="1:14" ht="20.25">
      <c r="A29" s="5" t="s">
        <v>8</v>
      </c>
      <c r="B29" s="6"/>
      <c r="C29" s="6">
        <v>0.2</v>
      </c>
      <c r="D29" s="6">
        <v>200</v>
      </c>
      <c r="E29" s="6">
        <f t="shared" si="0"/>
        <v>40</v>
      </c>
      <c r="F29" s="45"/>
      <c r="K29" s="12"/>
      <c r="L29" s="12"/>
      <c r="M29" s="12"/>
      <c r="N29" s="12"/>
    </row>
    <row r="30" spans="1:14" ht="20.25">
      <c r="A30" s="5" t="s">
        <v>60</v>
      </c>
      <c r="B30" s="6"/>
      <c r="C30" s="6">
        <v>0.2</v>
      </c>
      <c r="D30" s="6">
        <v>100</v>
      </c>
      <c r="E30" s="6">
        <f t="shared" si="0"/>
        <v>20</v>
      </c>
      <c r="F30" s="45"/>
      <c r="K30" s="12"/>
      <c r="L30" s="12"/>
      <c r="M30" s="12"/>
      <c r="N30" s="12"/>
    </row>
    <row r="31" spans="1:14" ht="20.25">
      <c r="A31" s="14" t="s">
        <v>9</v>
      </c>
      <c r="B31" s="15"/>
      <c r="C31" s="15">
        <v>0.05</v>
      </c>
      <c r="D31" s="15">
        <v>200</v>
      </c>
      <c r="E31" s="15">
        <f t="shared" si="0"/>
        <v>10</v>
      </c>
      <c r="F31" s="45"/>
      <c r="K31" s="12"/>
      <c r="L31" s="12"/>
      <c r="M31" s="12"/>
      <c r="N31" s="12"/>
    </row>
    <row r="32" spans="1:14" ht="20.25">
      <c r="A32" s="14" t="s">
        <v>10</v>
      </c>
      <c r="B32" s="15"/>
      <c r="C32" s="15">
        <v>15</v>
      </c>
      <c r="D32" s="15">
        <v>1</v>
      </c>
      <c r="E32" s="15">
        <f t="shared" si="0"/>
        <v>15</v>
      </c>
      <c r="F32" s="45"/>
      <c r="K32" s="12"/>
      <c r="L32" s="12"/>
      <c r="M32" s="12"/>
      <c r="N32" s="12"/>
    </row>
    <row r="33" spans="1:14" ht="20.25">
      <c r="A33" s="14" t="s">
        <v>11</v>
      </c>
      <c r="B33" s="15"/>
      <c r="C33" s="15">
        <v>5</v>
      </c>
      <c r="D33" s="15">
        <v>10</v>
      </c>
      <c r="E33" s="15">
        <f t="shared" si="0"/>
        <v>50</v>
      </c>
      <c r="F33" s="45"/>
      <c r="K33" s="12"/>
      <c r="L33" s="12"/>
      <c r="M33" s="12"/>
      <c r="N33" s="12"/>
    </row>
    <row r="34" spans="1:14" ht="20.25">
      <c r="A34" s="14" t="s">
        <v>13</v>
      </c>
      <c r="B34" s="15"/>
      <c r="C34" s="15"/>
      <c r="D34" s="15"/>
      <c r="E34" s="16">
        <f>SUM(E27:E33)</f>
        <v>575</v>
      </c>
      <c r="F34" s="44"/>
      <c r="K34" s="12"/>
      <c r="L34" s="12"/>
      <c r="M34" s="12"/>
      <c r="N34" s="12"/>
    </row>
    <row r="35" spans="1:14" ht="21" thickBot="1">
      <c r="A35" s="1"/>
      <c r="B35" s="7"/>
      <c r="C35" s="7"/>
      <c r="D35" s="7"/>
      <c r="E35" s="8"/>
      <c r="F35" s="9"/>
      <c r="K35" s="12"/>
      <c r="L35" s="12"/>
      <c r="M35" s="12"/>
      <c r="N35" s="12"/>
    </row>
    <row r="36" spans="1:14" ht="21" thickBot="1">
      <c r="K36" s="12"/>
      <c r="L36" s="12"/>
      <c r="M36" s="12"/>
      <c r="N36" s="12"/>
    </row>
    <row r="37" spans="1:14" ht="20.25">
      <c r="A37" s="80" t="s">
        <v>29</v>
      </c>
      <c r="B37" s="81"/>
      <c r="C37" s="81"/>
      <c r="D37" s="81"/>
      <c r="E37" s="81"/>
      <c r="F37" s="82"/>
      <c r="K37" s="13"/>
      <c r="L37" s="12"/>
      <c r="M37" s="12"/>
      <c r="N37" s="13"/>
    </row>
    <row r="38" spans="1:14" ht="15.75" customHeight="1">
      <c r="A38" s="101"/>
      <c r="B38" s="102"/>
      <c r="C38" s="102"/>
      <c r="D38" s="102"/>
      <c r="E38" s="102"/>
      <c r="F38" s="103"/>
    </row>
    <row r="39" spans="1:14" ht="17.25">
      <c r="A39" s="17" t="s">
        <v>30</v>
      </c>
      <c r="B39" s="18" t="s">
        <v>31</v>
      </c>
      <c r="C39" s="18" t="s">
        <v>42</v>
      </c>
      <c r="D39" s="18" t="s">
        <v>41</v>
      </c>
      <c r="E39" s="18" t="s">
        <v>4</v>
      </c>
      <c r="F39" s="19" t="s">
        <v>28</v>
      </c>
    </row>
    <row r="40" spans="1:14" ht="30.75" customHeight="1">
      <c r="A40" s="69" t="s">
        <v>32</v>
      </c>
      <c r="B40" s="71" t="s">
        <v>61</v>
      </c>
      <c r="C40" s="75" t="s">
        <v>62</v>
      </c>
      <c r="D40" s="76"/>
      <c r="E40" s="64">
        <v>3240</v>
      </c>
      <c r="F40" s="66" t="s">
        <v>34</v>
      </c>
    </row>
    <row r="41" spans="1:14" ht="50.25" customHeight="1">
      <c r="A41" s="70"/>
      <c r="B41" s="72"/>
      <c r="C41" s="77"/>
      <c r="D41" s="78"/>
      <c r="E41" s="65"/>
      <c r="F41" s="67"/>
    </row>
    <row r="42" spans="1:14" ht="50.25" customHeight="1">
      <c r="A42" s="69" t="s">
        <v>33</v>
      </c>
      <c r="B42" s="71" t="s">
        <v>63</v>
      </c>
      <c r="C42" s="73">
        <v>20</v>
      </c>
      <c r="D42" s="64" t="s">
        <v>43</v>
      </c>
      <c r="E42" s="64">
        <v>1200</v>
      </c>
      <c r="F42" s="67"/>
    </row>
    <row r="43" spans="1:14" ht="33.75" customHeight="1">
      <c r="A43" s="70"/>
      <c r="B43" s="72"/>
      <c r="C43" s="74"/>
      <c r="D43" s="65"/>
      <c r="E43" s="65"/>
      <c r="F43" s="68"/>
    </row>
    <row r="44" spans="1:14" ht="70.5" customHeight="1">
      <c r="A44" s="5" t="s">
        <v>35</v>
      </c>
      <c r="B44" s="38" t="s">
        <v>64</v>
      </c>
      <c r="C44" s="75" t="s">
        <v>66</v>
      </c>
      <c r="D44" s="76"/>
      <c r="E44" s="64">
        <v>15120</v>
      </c>
      <c r="F44" s="88" t="s">
        <v>67</v>
      </c>
    </row>
    <row r="45" spans="1:14" ht="87" customHeight="1">
      <c r="A45" s="69" t="s">
        <v>45</v>
      </c>
      <c r="B45" s="38" t="s">
        <v>65</v>
      </c>
      <c r="C45" s="77"/>
      <c r="D45" s="78"/>
      <c r="E45" s="65"/>
      <c r="F45" s="68"/>
    </row>
    <row r="46" spans="1:14" ht="87" customHeight="1">
      <c r="A46" s="91"/>
      <c r="B46" s="50" t="s">
        <v>68</v>
      </c>
      <c r="C46" s="89"/>
      <c r="D46" s="90"/>
      <c r="E46" s="49">
        <v>4000</v>
      </c>
      <c r="F46" s="48"/>
    </row>
    <row r="47" spans="1:14" ht="18" thickBot="1">
      <c r="A47" s="35" t="s">
        <v>13</v>
      </c>
      <c r="B47" s="79"/>
      <c r="C47" s="79"/>
      <c r="D47" s="79"/>
      <c r="E47" s="47">
        <f>SUM(E40:E46)</f>
        <v>23560</v>
      </c>
      <c r="F47" s="28"/>
    </row>
    <row r="48" spans="1:14" ht="15" thickBot="1"/>
    <row r="49" spans="1:6">
      <c r="A49" s="80" t="s">
        <v>37</v>
      </c>
      <c r="B49" s="81"/>
      <c r="C49" s="81"/>
      <c r="D49" s="81"/>
      <c r="E49" s="81"/>
      <c r="F49" s="82"/>
    </row>
    <row r="50" spans="1:6" ht="15.75" customHeight="1">
      <c r="A50" s="83"/>
      <c r="B50" s="84"/>
      <c r="C50" s="84"/>
      <c r="D50" s="84"/>
      <c r="E50" s="84"/>
      <c r="F50" s="85"/>
    </row>
    <row r="51" spans="1:6" ht="17.25">
      <c r="A51" s="53" t="s">
        <v>38</v>
      </c>
      <c r="B51" s="86" t="s">
        <v>40</v>
      </c>
      <c r="C51" s="86"/>
      <c r="D51" s="86"/>
      <c r="E51" s="86"/>
      <c r="F51" s="87"/>
    </row>
    <row r="52" spans="1:6" ht="17.25">
      <c r="A52" s="33" t="s">
        <v>46</v>
      </c>
      <c r="B52" s="59">
        <v>10160</v>
      </c>
      <c r="C52" s="59"/>
      <c r="D52" s="59"/>
      <c r="E52" s="59"/>
      <c r="F52" s="60"/>
    </row>
    <row r="53" spans="1:6" ht="17.25">
      <c r="A53" s="33" t="s">
        <v>47</v>
      </c>
      <c r="B53" s="59">
        <v>1742</v>
      </c>
      <c r="C53" s="59"/>
      <c r="D53" s="59"/>
      <c r="E53" s="59"/>
      <c r="F53" s="60"/>
    </row>
    <row r="54" spans="1:6" ht="17.25">
      <c r="A54" s="33" t="s">
        <v>48</v>
      </c>
      <c r="B54" s="59">
        <v>1259</v>
      </c>
      <c r="C54" s="59"/>
      <c r="D54" s="59"/>
      <c r="E54" s="59"/>
      <c r="F54" s="60"/>
    </row>
    <row r="55" spans="1:6" ht="17.25">
      <c r="A55" s="33" t="s">
        <v>49</v>
      </c>
      <c r="B55" s="59">
        <v>575</v>
      </c>
      <c r="C55" s="59"/>
      <c r="D55" s="59"/>
      <c r="E55" s="59"/>
      <c r="F55" s="60"/>
    </row>
    <row r="56" spans="1:6" ht="17.25">
      <c r="A56" s="33" t="s">
        <v>39</v>
      </c>
      <c r="B56" s="59">
        <v>23560</v>
      </c>
      <c r="C56" s="59"/>
      <c r="D56" s="59"/>
      <c r="E56" s="59"/>
      <c r="F56" s="60"/>
    </row>
    <row r="57" spans="1:6" ht="17.25">
      <c r="A57" s="52" t="s">
        <v>69</v>
      </c>
      <c r="B57" s="61" t="s">
        <v>70</v>
      </c>
      <c r="C57" s="62"/>
      <c r="D57" s="62"/>
      <c r="E57" s="62"/>
      <c r="F57" s="63"/>
    </row>
    <row r="58" spans="1:6" ht="17.25">
      <c r="A58" s="54" t="s">
        <v>72</v>
      </c>
      <c r="B58" s="57">
        <v>37296</v>
      </c>
      <c r="C58" s="57"/>
      <c r="D58" s="57"/>
      <c r="E58" s="57"/>
      <c r="F58" s="58"/>
    </row>
    <row r="59" spans="1:6" ht="17.25">
      <c r="A59" s="52" t="s">
        <v>71</v>
      </c>
      <c r="B59" s="57">
        <v>5072</v>
      </c>
      <c r="C59" s="57"/>
      <c r="D59" s="57"/>
      <c r="E59" s="57"/>
      <c r="F59" s="58"/>
    </row>
    <row r="60" spans="1:6" ht="18" thickBot="1">
      <c r="A60" s="51" t="s">
        <v>73</v>
      </c>
      <c r="B60" s="55">
        <v>42368</v>
      </c>
      <c r="C60" s="55"/>
      <c r="D60" s="55"/>
      <c r="E60" s="55"/>
      <c r="F60" s="56"/>
    </row>
  </sheetData>
  <mergeCells count="33">
    <mergeCell ref="A1:F2"/>
    <mergeCell ref="A10:F11"/>
    <mergeCell ref="F4:F5"/>
    <mergeCell ref="A17:F18"/>
    <mergeCell ref="A37:F38"/>
    <mergeCell ref="A24:F25"/>
    <mergeCell ref="B47:D47"/>
    <mergeCell ref="D42:D43"/>
    <mergeCell ref="E42:E43"/>
    <mergeCell ref="E44:E45"/>
    <mergeCell ref="B55:F55"/>
    <mergeCell ref="A49:F50"/>
    <mergeCell ref="B51:F51"/>
    <mergeCell ref="F44:F45"/>
    <mergeCell ref="C44:D45"/>
    <mergeCell ref="C46:D46"/>
    <mergeCell ref="A45:A46"/>
    <mergeCell ref="E40:E41"/>
    <mergeCell ref="F40:F43"/>
    <mergeCell ref="A42:A43"/>
    <mergeCell ref="B42:B43"/>
    <mergeCell ref="C42:C43"/>
    <mergeCell ref="A40:A41"/>
    <mergeCell ref="B40:B41"/>
    <mergeCell ref="C40:D41"/>
    <mergeCell ref="B60:F60"/>
    <mergeCell ref="B58:F58"/>
    <mergeCell ref="B52:F52"/>
    <mergeCell ref="B53:F53"/>
    <mergeCell ref="B54:F54"/>
    <mergeCell ref="B56:F56"/>
    <mergeCell ref="B57:F57"/>
    <mergeCell ref="B59:F59"/>
  </mergeCells>
  <phoneticPr fontId="6" type="noConversion"/>
  <pageMargins left="0.7" right="0.7" top="0.75" bottom="0.75" header="0.3" footer="0.3"/>
  <pageSetup paperSize="9" scale="36"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工作表1</vt:lpstr>
      <vt:lpstr>工作表1!Print_Area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用户</dc:creator>
  <cp:lastModifiedBy>1</cp:lastModifiedBy>
  <dcterms:created xsi:type="dcterms:W3CDTF">2018-06-26T05:43:00Z</dcterms:created>
  <dcterms:modified xsi:type="dcterms:W3CDTF">2018-11-09T08:51:14Z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2052-10.1.0.7401</vt:lpwstr>
  </property>
</Properties>
</file>