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汶水路汽车租赁公司\"/>
    </mc:Choice>
  </mc:AlternateContent>
  <bookViews>
    <workbookView xWindow="0" yWindow="0" windowWidth="20490" windowHeight="8370"/>
  </bookViews>
  <sheets>
    <sheet name="工程报价" sheetId="1" r:id="rId1"/>
    <sheet name="Sheet1" sheetId="2" r:id="rId2"/>
  </sheets>
  <calcPr calcId="152511"/>
</workbook>
</file>

<file path=xl/calcChain.xml><?xml version="1.0" encoding="utf-8"?>
<calcChain xmlns="http://schemas.openxmlformats.org/spreadsheetml/2006/main">
  <c r="G30" i="1" l="1"/>
  <c r="G29" i="1"/>
  <c r="F24" i="1"/>
  <c r="G26" i="1" s="1"/>
  <c r="F5" i="1"/>
  <c r="F9" i="1"/>
  <c r="F21" i="1" l="1"/>
  <c r="F17" i="1"/>
  <c r="F8" i="1"/>
  <c r="G11" i="1" l="1"/>
  <c r="G22" i="1"/>
  <c r="G19" i="1"/>
  <c r="F13" i="1"/>
  <c r="G15" i="1" s="1"/>
  <c r="F4" i="1"/>
  <c r="G6" i="1" s="1"/>
  <c r="G28" i="1" l="1"/>
</calcChain>
</file>

<file path=xl/sharedStrings.xml><?xml version="1.0" encoding="utf-8"?>
<sst xmlns="http://schemas.openxmlformats.org/spreadsheetml/2006/main" count="43" uniqueCount="42">
  <si>
    <t>项次</t>
  </si>
  <si>
    <t>工程名称</t>
  </si>
  <si>
    <t>单位</t>
  </si>
  <si>
    <t>数量</t>
  </si>
  <si>
    <t>单价</t>
  </si>
  <si>
    <t>合计</t>
  </si>
  <si>
    <t>一</t>
  </si>
  <si>
    <t>二</t>
  </si>
  <si>
    <t>三</t>
  </si>
  <si>
    <t>备注</t>
    <phoneticPr fontId="4" type="noConversion"/>
  </si>
  <si>
    <t>m2</t>
    <phoneticPr fontId="4" type="noConversion"/>
  </si>
  <si>
    <t>五</t>
    <phoneticPr fontId="4" type="noConversion"/>
  </si>
  <si>
    <t>规格</t>
    <phoneticPr fontId="11" type="noConversion"/>
  </si>
  <si>
    <t>A</t>
    <phoneticPr fontId="11" type="noConversion"/>
  </si>
  <si>
    <t>B</t>
    <phoneticPr fontId="11" type="noConversion"/>
  </si>
  <si>
    <t>C</t>
    <phoneticPr fontId="11" type="noConversion"/>
  </si>
  <si>
    <t>四</t>
    <phoneticPr fontId="4" type="noConversion"/>
  </si>
  <si>
    <t>爱康国宾5号楼工程报价</t>
    <phoneticPr fontId="4" type="noConversion"/>
  </si>
  <si>
    <t>油漆工种</t>
    <phoneticPr fontId="4" type="noConversion"/>
  </si>
  <si>
    <t>墙面、顶面刮白及涂料</t>
    <phoneticPr fontId="4" type="noConversion"/>
  </si>
  <si>
    <t>装饰板</t>
    <phoneticPr fontId="4" type="noConversion"/>
  </si>
  <si>
    <t>更换装饰板</t>
    <phoneticPr fontId="4" type="noConversion"/>
  </si>
  <si>
    <t>张</t>
    <phoneticPr fontId="4" type="noConversion"/>
  </si>
  <si>
    <t>门皮</t>
    <phoneticPr fontId="4" type="noConversion"/>
  </si>
  <si>
    <t>米</t>
    <phoneticPr fontId="4" type="noConversion"/>
  </si>
  <si>
    <t>桌子喷黑漆</t>
    <phoneticPr fontId="4" type="noConversion"/>
  </si>
  <si>
    <t>张</t>
    <phoneticPr fontId="4" type="noConversion"/>
  </si>
  <si>
    <t>踢脚线</t>
    <phoneticPr fontId="4" type="noConversion"/>
  </si>
  <si>
    <t>电梯厅铝合金踢脚线</t>
    <phoneticPr fontId="4" type="noConversion"/>
  </si>
  <si>
    <t>门</t>
    <phoneticPr fontId="4" type="noConversion"/>
  </si>
  <si>
    <t>一对开门</t>
    <phoneticPr fontId="4" type="noConversion"/>
  </si>
  <si>
    <t>双</t>
    <phoneticPr fontId="4" type="noConversion"/>
  </si>
  <si>
    <t>卫生间</t>
    <phoneticPr fontId="4" type="noConversion"/>
  </si>
  <si>
    <t>修补卫生间</t>
    <phoneticPr fontId="4" type="noConversion"/>
  </si>
  <si>
    <t>个</t>
    <phoneticPr fontId="4" type="noConversion"/>
  </si>
  <si>
    <t>米</t>
    <phoneticPr fontId="4" type="noConversion"/>
  </si>
  <si>
    <t>六</t>
    <phoneticPr fontId="4" type="noConversion"/>
  </si>
  <si>
    <t>人工</t>
    <phoneticPr fontId="4" type="noConversion"/>
  </si>
  <si>
    <t>个</t>
    <phoneticPr fontId="4" type="noConversion"/>
  </si>
  <si>
    <t>税费：</t>
    <phoneticPr fontId="4" type="noConversion"/>
  </si>
  <si>
    <t>小计：</t>
    <phoneticPr fontId="4" type="noConversion"/>
  </si>
  <si>
    <t>总计：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</si>
</sst>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_ "/>
    <numFmt numFmtId="179" formatCode="0.0%"/>
  </numFmts>
  <fonts count="12" x14ac:knownFonts="1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2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14"/>
      <color rgb="FFFF0000"/>
      <name val="宋体"/>
      <family val="3"/>
      <charset val="134"/>
      <scheme val="minor"/>
    </font>
    <font>
      <b/>
      <sz val="14"/>
      <color rgb="FFFF0000"/>
      <name val="宋体"/>
      <family val="3"/>
      <charset val="134"/>
      <scheme val="minor"/>
    </font>
    <font>
      <sz val="9"/>
      <name val="宋体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5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76" fontId="2" fillId="0" borderId="1" xfId="0" applyNumberFormat="1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 wrapText="1"/>
    </xf>
    <xf numFmtId="176" fontId="8" fillId="3" borderId="1" xfId="0" applyNumberFormat="1" applyFont="1" applyFill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horizontal="center" vertical="center"/>
    </xf>
    <xf numFmtId="176" fontId="9" fillId="3" borderId="3" xfId="0" applyNumberFormat="1" applyFont="1" applyFill="1" applyBorder="1" applyAlignment="1">
      <alignment horizontal="center" vertical="center"/>
    </xf>
    <xf numFmtId="176" fontId="9" fillId="3" borderId="4" xfId="0" applyNumberFormat="1" applyFont="1" applyFill="1" applyBorder="1" applyAlignment="1">
      <alignment horizontal="center" vertical="center"/>
    </xf>
    <xf numFmtId="176" fontId="10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>
      <alignment vertical="center"/>
    </xf>
    <xf numFmtId="176" fontId="10" fillId="2" borderId="1" xfId="0" applyNumberFormat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2" xfId="0" applyBorder="1">
      <alignment vertical="center"/>
    </xf>
    <xf numFmtId="0" fontId="0" fillId="0" borderId="11" xfId="0" applyBorder="1">
      <alignment vertical="center"/>
    </xf>
    <xf numFmtId="0" fontId="0" fillId="0" borderId="13" xfId="0" applyBorder="1">
      <alignment vertical="center"/>
    </xf>
    <xf numFmtId="0" fontId="0" fillId="0" borderId="5" xfId="0" applyBorder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176" fontId="2" fillId="0" borderId="14" xfId="0" applyNumberFormat="1" applyFont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/>
    </xf>
    <xf numFmtId="176" fontId="10" fillId="2" borderId="2" xfId="0" applyNumberFormat="1" applyFont="1" applyFill="1" applyBorder="1" applyAlignment="1">
      <alignment horizontal="center" vertical="center"/>
    </xf>
    <xf numFmtId="176" fontId="10" fillId="2" borderId="3" xfId="0" applyNumberFormat="1" applyFont="1" applyFill="1" applyBorder="1" applyAlignment="1">
      <alignment horizontal="center" vertical="center"/>
    </xf>
    <xf numFmtId="176" fontId="10" fillId="2" borderId="4" xfId="0" applyNumberFormat="1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9" fontId="10" fillId="2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abSelected="1" view="pageBreakPreview" zoomScale="60" zoomScaleNormal="100" workbookViewId="0">
      <selection activeCell="L30" sqref="L30"/>
    </sheetView>
  </sheetViews>
  <sheetFormatPr defaultColWidth="9" defaultRowHeight="13.5" x14ac:dyDescent="0.15"/>
  <cols>
    <col min="1" max="1" width="5.125" style="1" customWidth="1"/>
    <col min="2" max="2" width="41.125" style="8" customWidth="1"/>
    <col min="3" max="3" width="9" style="1"/>
    <col min="4" max="4" width="11.625" style="10" bestFit="1" customWidth="1"/>
    <col min="5" max="5" width="13.125" style="10" customWidth="1"/>
    <col min="6" max="6" width="13.5" style="10" customWidth="1"/>
    <col min="7" max="7" width="19.125" customWidth="1"/>
  </cols>
  <sheetData>
    <row r="1" spans="1:7" ht="23.25" thickBot="1" x14ac:dyDescent="0.2">
      <c r="A1" s="40" t="s">
        <v>17</v>
      </c>
      <c r="B1" s="41"/>
      <c r="C1" s="41"/>
      <c r="D1" s="41"/>
      <c r="E1" s="41"/>
      <c r="F1" s="41"/>
      <c r="G1" s="42"/>
    </row>
    <row r="2" spans="1:7" ht="20.100000000000001" customHeight="1" x14ac:dyDescent="0.15">
      <c r="A2" s="33" t="s">
        <v>0</v>
      </c>
      <c r="B2" s="34" t="s">
        <v>1</v>
      </c>
      <c r="C2" s="33" t="s">
        <v>2</v>
      </c>
      <c r="D2" s="35" t="s">
        <v>3</v>
      </c>
      <c r="E2" s="35" t="s">
        <v>4</v>
      </c>
      <c r="F2" s="35" t="s">
        <v>5</v>
      </c>
      <c r="G2" s="33" t="s">
        <v>9</v>
      </c>
    </row>
    <row r="3" spans="1:7" ht="20.100000000000001" customHeight="1" x14ac:dyDescent="0.15">
      <c r="A3" s="3" t="s">
        <v>6</v>
      </c>
      <c r="B3" s="6" t="s">
        <v>18</v>
      </c>
      <c r="C3" s="2"/>
      <c r="D3" s="9"/>
      <c r="E3" s="9"/>
      <c r="F3" s="9"/>
      <c r="G3" s="4"/>
    </row>
    <row r="4" spans="1:7" ht="22.15" customHeight="1" x14ac:dyDescent="0.15">
      <c r="A4" s="2">
        <v>1</v>
      </c>
      <c r="B4" s="7" t="s">
        <v>19</v>
      </c>
      <c r="C4" s="2" t="s">
        <v>10</v>
      </c>
      <c r="D4" s="9">
        <v>900</v>
      </c>
      <c r="E4" s="9">
        <v>50</v>
      </c>
      <c r="F4" s="9">
        <f>E4*D4</f>
        <v>45000</v>
      </c>
      <c r="G4" s="4"/>
    </row>
    <row r="5" spans="1:7" ht="22.15" customHeight="1" x14ac:dyDescent="0.15">
      <c r="A5" s="2">
        <v>2</v>
      </c>
      <c r="B5" s="7" t="s">
        <v>25</v>
      </c>
      <c r="C5" s="2" t="s">
        <v>26</v>
      </c>
      <c r="D5" s="9">
        <v>3</v>
      </c>
      <c r="E5" s="9">
        <v>2000</v>
      </c>
      <c r="F5" s="9">
        <f>D5*E5</f>
        <v>6000</v>
      </c>
      <c r="G5" s="4"/>
    </row>
    <row r="6" spans="1:7" ht="20.100000000000001" customHeight="1" x14ac:dyDescent="0.15">
      <c r="A6" s="12"/>
      <c r="B6" s="13"/>
      <c r="C6" s="12"/>
      <c r="D6" s="14"/>
      <c r="E6" s="14"/>
      <c r="F6" s="14"/>
      <c r="G6" s="15">
        <f>F4+F5</f>
        <v>51000</v>
      </c>
    </row>
    <row r="7" spans="1:7" ht="20.100000000000001" customHeight="1" x14ac:dyDescent="0.15">
      <c r="A7" s="3" t="s">
        <v>7</v>
      </c>
      <c r="B7" s="6" t="s">
        <v>20</v>
      </c>
      <c r="C7" s="2"/>
      <c r="D7" s="9"/>
      <c r="E7" s="9"/>
      <c r="F7" s="9"/>
      <c r="G7" s="4"/>
    </row>
    <row r="8" spans="1:7" ht="20.100000000000001" customHeight="1" x14ac:dyDescent="0.15">
      <c r="A8" s="2">
        <v>1</v>
      </c>
      <c r="B8" s="7" t="s">
        <v>21</v>
      </c>
      <c r="C8" s="2" t="s">
        <v>22</v>
      </c>
      <c r="D8" s="36">
        <v>1</v>
      </c>
      <c r="E8" s="9">
        <v>500</v>
      </c>
      <c r="F8" s="9">
        <f>E8*D8</f>
        <v>500</v>
      </c>
      <c r="G8" s="4"/>
    </row>
    <row r="9" spans="1:7" ht="20.100000000000001" customHeight="1" x14ac:dyDescent="0.15">
      <c r="A9" s="2">
        <v>2</v>
      </c>
      <c r="B9" s="7" t="s">
        <v>23</v>
      </c>
      <c r="C9" s="2" t="s">
        <v>24</v>
      </c>
      <c r="D9" s="36">
        <v>50</v>
      </c>
      <c r="E9" s="9">
        <v>28</v>
      </c>
      <c r="F9" s="9">
        <f>D9*E9</f>
        <v>1400</v>
      </c>
      <c r="G9" s="4"/>
    </row>
    <row r="10" spans="1:7" ht="20.100000000000001" customHeight="1" x14ac:dyDescent="0.15">
      <c r="A10" s="3"/>
      <c r="B10" s="7"/>
      <c r="C10" s="2"/>
      <c r="D10" s="9"/>
      <c r="E10" s="9"/>
      <c r="F10" s="9"/>
      <c r="G10" s="4"/>
    </row>
    <row r="11" spans="1:7" ht="20.100000000000001" customHeight="1" x14ac:dyDescent="0.15">
      <c r="A11" s="12"/>
      <c r="B11" s="13"/>
      <c r="C11" s="12"/>
      <c r="D11" s="14"/>
      <c r="E11" s="14"/>
      <c r="F11" s="15"/>
      <c r="G11" s="15">
        <f>SUM(F7:F10)</f>
        <v>1900</v>
      </c>
    </row>
    <row r="12" spans="1:7" ht="20.100000000000001" customHeight="1" x14ac:dyDescent="0.15">
      <c r="A12" s="3" t="s">
        <v>8</v>
      </c>
      <c r="B12" s="6" t="s">
        <v>27</v>
      </c>
      <c r="C12" s="2"/>
      <c r="D12" s="9"/>
      <c r="E12" s="9"/>
      <c r="F12" s="9"/>
      <c r="G12" s="4"/>
    </row>
    <row r="13" spans="1:7" ht="20.100000000000001" customHeight="1" x14ac:dyDescent="0.15">
      <c r="A13" s="2">
        <v>1</v>
      </c>
      <c r="B13" s="7" t="s">
        <v>28</v>
      </c>
      <c r="C13" s="2" t="s">
        <v>35</v>
      </c>
      <c r="D13" s="9">
        <v>40</v>
      </c>
      <c r="E13" s="9">
        <v>30</v>
      </c>
      <c r="F13" s="9">
        <f t="shared" ref="F13" si="0">E13*D13</f>
        <v>1200</v>
      </c>
      <c r="G13" s="4"/>
    </row>
    <row r="14" spans="1:7" ht="20.100000000000001" customHeight="1" x14ac:dyDescent="0.15">
      <c r="A14" s="2"/>
      <c r="B14" s="7"/>
      <c r="C14" s="2"/>
      <c r="D14" s="9"/>
      <c r="E14" s="9"/>
      <c r="F14" s="9"/>
      <c r="G14" s="4"/>
    </row>
    <row r="15" spans="1:7" ht="20.100000000000001" customHeight="1" x14ac:dyDescent="0.15">
      <c r="A15" s="12"/>
      <c r="B15" s="13"/>
      <c r="C15" s="12"/>
      <c r="D15" s="14"/>
      <c r="E15" s="14"/>
      <c r="F15" s="15"/>
      <c r="G15" s="15">
        <f>SUM(F12:F14)</f>
        <v>1200</v>
      </c>
    </row>
    <row r="16" spans="1:7" ht="21.6" customHeight="1" x14ac:dyDescent="0.15">
      <c r="A16" s="3" t="s">
        <v>16</v>
      </c>
      <c r="B16" s="6" t="s">
        <v>29</v>
      </c>
      <c r="C16" s="2"/>
      <c r="D16" s="9"/>
      <c r="E16" s="9"/>
      <c r="F16" s="9"/>
      <c r="G16" s="4"/>
    </row>
    <row r="17" spans="1:7" ht="20.100000000000001" customHeight="1" x14ac:dyDescent="0.15">
      <c r="A17" s="2">
        <v>1</v>
      </c>
      <c r="B17" s="7" t="s">
        <v>30</v>
      </c>
      <c r="C17" s="2" t="s">
        <v>31</v>
      </c>
      <c r="D17" s="9">
        <v>1</v>
      </c>
      <c r="E17" s="9">
        <v>3000</v>
      </c>
      <c r="F17" s="9">
        <f>E17*D17</f>
        <v>3000</v>
      </c>
      <c r="G17" s="5"/>
    </row>
    <row r="18" spans="1:7" ht="20.100000000000001" customHeight="1" x14ac:dyDescent="0.15">
      <c r="A18" s="2"/>
      <c r="B18" s="7"/>
      <c r="C18" s="2"/>
      <c r="D18" s="9"/>
      <c r="E18" s="9"/>
      <c r="F18" s="9"/>
      <c r="G18" s="5"/>
    </row>
    <row r="19" spans="1:7" ht="20.100000000000001" customHeight="1" x14ac:dyDescent="0.15">
      <c r="A19" s="12"/>
      <c r="B19" s="13"/>
      <c r="C19" s="12"/>
      <c r="D19" s="14"/>
      <c r="E19" s="14"/>
      <c r="F19" s="15"/>
      <c r="G19" s="15">
        <f>SUM(F17:F18)</f>
        <v>3000</v>
      </c>
    </row>
    <row r="20" spans="1:7" ht="20.100000000000001" customHeight="1" x14ac:dyDescent="0.15">
      <c r="A20" s="3" t="s">
        <v>11</v>
      </c>
      <c r="B20" s="6" t="s">
        <v>32</v>
      </c>
      <c r="C20" s="2"/>
      <c r="D20" s="9"/>
      <c r="E20" s="9"/>
      <c r="F20" s="9"/>
      <c r="G20" s="4"/>
    </row>
    <row r="21" spans="1:7" ht="20.100000000000001" customHeight="1" x14ac:dyDescent="0.15">
      <c r="A21" s="2">
        <v>1</v>
      </c>
      <c r="B21" s="7" t="s">
        <v>33</v>
      </c>
      <c r="C21" s="2" t="s">
        <v>34</v>
      </c>
      <c r="D21" s="9">
        <v>4</v>
      </c>
      <c r="E21" s="9">
        <v>1500</v>
      </c>
      <c r="F21" s="9">
        <f>E21*D21</f>
        <v>6000</v>
      </c>
      <c r="G21" s="5"/>
    </row>
    <row r="22" spans="1:7" ht="20.100000000000001" customHeight="1" x14ac:dyDescent="0.15">
      <c r="A22" s="12"/>
      <c r="B22" s="13"/>
      <c r="C22" s="12"/>
      <c r="D22" s="14"/>
      <c r="E22" s="14"/>
      <c r="F22" s="15"/>
      <c r="G22" s="15">
        <f>SUM(F21:F21)</f>
        <v>6000</v>
      </c>
    </row>
    <row r="23" spans="1:7" ht="21.6" customHeight="1" x14ac:dyDescent="0.15">
      <c r="A23" s="3" t="s">
        <v>36</v>
      </c>
      <c r="B23" s="6" t="s">
        <v>37</v>
      </c>
      <c r="C23" s="2"/>
      <c r="D23" s="9"/>
      <c r="E23" s="9"/>
      <c r="F23" s="9"/>
      <c r="G23" s="4"/>
    </row>
    <row r="24" spans="1:7" ht="20.100000000000001" customHeight="1" x14ac:dyDescent="0.15">
      <c r="A24" s="2">
        <v>1</v>
      </c>
      <c r="B24" s="7" t="s">
        <v>37</v>
      </c>
      <c r="C24" s="2" t="s">
        <v>38</v>
      </c>
      <c r="D24" s="9">
        <v>28</v>
      </c>
      <c r="E24" s="9">
        <v>360</v>
      </c>
      <c r="F24" s="9">
        <f>E24*D24</f>
        <v>10080</v>
      </c>
      <c r="G24" s="5"/>
    </row>
    <row r="25" spans="1:7" ht="20.100000000000001" customHeight="1" x14ac:dyDescent="0.15">
      <c r="A25" s="2"/>
      <c r="B25" s="7"/>
      <c r="C25" s="2"/>
      <c r="D25" s="9"/>
      <c r="E25" s="9"/>
      <c r="F25" s="9"/>
      <c r="G25" s="5"/>
    </row>
    <row r="26" spans="1:7" ht="20.100000000000001" customHeight="1" x14ac:dyDescent="0.15">
      <c r="A26" s="12"/>
      <c r="B26" s="13"/>
      <c r="C26" s="12"/>
      <c r="D26" s="14"/>
      <c r="E26" s="14"/>
      <c r="F26" s="15"/>
      <c r="G26" s="15">
        <f>SUM(F24:F25)</f>
        <v>10080</v>
      </c>
    </row>
    <row r="27" spans="1:7" ht="20.100000000000001" customHeight="1" x14ac:dyDescent="0.15">
      <c r="A27" s="12"/>
      <c r="B27" s="16"/>
      <c r="C27" s="17"/>
      <c r="D27" s="18"/>
      <c r="E27" s="19"/>
      <c r="F27" s="20"/>
      <c r="G27" s="21"/>
    </row>
    <row r="28" spans="1:7" ht="22.5" customHeight="1" x14ac:dyDescent="0.15">
      <c r="A28" s="11"/>
      <c r="B28" s="37" t="s">
        <v>40</v>
      </c>
      <c r="C28" s="38"/>
      <c r="D28" s="38"/>
      <c r="E28" s="39"/>
      <c r="F28" s="22"/>
      <c r="G28" s="22">
        <f>SUM(G4:G27)</f>
        <v>73180</v>
      </c>
    </row>
    <row r="29" spans="1:7" ht="22.5" customHeight="1" x14ac:dyDescent="0.15">
      <c r="A29" s="11"/>
      <c r="B29" s="37" t="s">
        <v>39</v>
      </c>
      <c r="C29" s="38"/>
      <c r="D29" s="38"/>
      <c r="E29" s="39"/>
      <c r="F29" s="45">
        <v>0.13500000000000001</v>
      </c>
      <c r="G29" s="22">
        <f>G28*0.135</f>
        <v>9879.3000000000011</v>
      </c>
    </row>
    <row r="30" spans="1:7" ht="22.5" customHeight="1" x14ac:dyDescent="0.15">
      <c r="A30" s="11"/>
      <c r="B30" s="37" t="s">
        <v>41</v>
      </c>
      <c r="C30" s="38"/>
      <c r="D30" s="38"/>
      <c r="E30" s="39"/>
      <c r="F30" s="45"/>
      <c r="G30" s="22">
        <f>G28+G29</f>
        <v>83059.3</v>
      </c>
    </row>
  </sheetData>
  <mergeCells count="4">
    <mergeCell ref="B28:E28"/>
    <mergeCell ref="A1:G1"/>
    <mergeCell ref="B29:E29"/>
    <mergeCell ref="B30:E30"/>
  </mergeCells>
  <phoneticPr fontId="4" type="noConversion"/>
  <pageMargins left="0.75" right="0.75" top="1" bottom="1" header="0.51180555555555596" footer="0.51180555555555596"/>
  <pageSetup paperSize="9" scale="7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6"/>
  <sheetViews>
    <sheetView workbookViewId="0">
      <selection activeCell="C11" sqref="C11"/>
    </sheetView>
  </sheetViews>
  <sheetFormatPr defaultRowHeight="13.5" x14ac:dyDescent="0.15"/>
  <sheetData>
    <row r="2" spans="2:10" ht="14.25" thickBot="1" x14ac:dyDescent="0.2"/>
    <row r="3" spans="2:10" ht="14.25" thickBot="1" x14ac:dyDescent="0.2">
      <c r="B3" s="32"/>
      <c r="C3" s="43" t="s">
        <v>12</v>
      </c>
      <c r="D3" s="44"/>
      <c r="E3" s="29"/>
      <c r="F3" s="30"/>
      <c r="G3" s="31"/>
      <c r="H3" s="30"/>
      <c r="I3" s="31"/>
      <c r="J3" s="30"/>
    </row>
    <row r="4" spans="2:10" ht="14.25" thickBot="1" x14ac:dyDescent="0.2">
      <c r="B4" s="27" t="s">
        <v>13</v>
      </c>
      <c r="C4" s="43"/>
      <c r="D4" s="44"/>
      <c r="E4" s="23"/>
      <c r="F4" s="24"/>
      <c r="G4" s="23"/>
      <c r="H4" s="24"/>
      <c r="I4" s="23"/>
      <c r="J4" s="24"/>
    </row>
    <row r="5" spans="2:10" ht="14.25" thickBot="1" x14ac:dyDescent="0.2">
      <c r="B5" s="32" t="s">
        <v>14</v>
      </c>
      <c r="C5" s="31"/>
      <c r="D5" s="30"/>
      <c r="E5" s="31"/>
      <c r="F5" s="30"/>
      <c r="G5" s="31"/>
      <c r="H5" s="30"/>
      <c r="I5" s="31"/>
      <c r="J5" s="30"/>
    </row>
    <row r="6" spans="2:10" ht="14.25" thickBot="1" x14ac:dyDescent="0.2">
      <c r="B6" s="28" t="s">
        <v>15</v>
      </c>
      <c r="C6" s="25"/>
      <c r="D6" s="26"/>
      <c r="E6" s="25"/>
      <c r="F6" s="26"/>
      <c r="G6" s="25"/>
      <c r="H6" s="26"/>
      <c r="I6" s="25"/>
      <c r="J6" s="26"/>
    </row>
  </sheetData>
  <mergeCells count="2">
    <mergeCell ref="C3:D3"/>
    <mergeCell ref="C4:D4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工程报价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1</cp:lastModifiedBy>
  <cp:lastPrinted>2018-09-11T06:49:00Z</cp:lastPrinted>
  <dcterms:created xsi:type="dcterms:W3CDTF">2018-02-27T11:14:00Z</dcterms:created>
  <dcterms:modified xsi:type="dcterms:W3CDTF">2018-11-01T09:17:14Z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</Properties>
</file>