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爱康国宾\"/>
    </mc:Choice>
  </mc:AlternateContent>
  <bookViews>
    <workbookView xWindow="0" yWindow="0" windowWidth="20490" windowHeight="8370"/>
  </bookViews>
  <sheets>
    <sheet name="工程报价" sheetId="1" r:id="rId1"/>
    <sheet name="Sheet1" sheetId="2" r:id="rId2"/>
  </sheets>
  <definedNames>
    <definedName name="_xlnm.Print_Area" localSheetId="0">工程报价!$A$1:$I$33</definedName>
  </definedNames>
  <calcPr calcId="152511"/>
</workbook>
</file>

<file path=xl/calcChain.xml><?xml version="1.0" encoding="utf-8"?>
<calcChain xmlns="http://schemas.openxmlformats.org/spreadsheetml/2006/main">
  <c r="G11" i="1" l="1"/>
  <c r="G26" i="1" l="1"/>
  <c r="H28" i="1" s="1"/>
  <c r="G6" i="1"/>
  <c r="G10" i="1"/>
  <c r="G23" i="1" l="1"/>
  <c r="G19" i="1"/>
  <c r="G9" i="1"/>
  <c r="H13" i="1" l="1"/>
  <c r="H24" i="1"/>
  <c r="H21" i="1"/>
  <c r="G15" i="1"/>
  <c r="H17" i="1" s="1"/>
  <c r="G5" i="1"/>
  <c r="H7" i="1" s="1"/>
  <c r="H30" i="1" l="1"/>
  <c r="H31" i="1" l="1"/>
  <c r="H32" i="1" s="1"/>
</calcChain>
</file>

<file path=xl/sharedStrings.xml><?xml version="1.0" encoding="utf-8"?>
<sst xmlns="http://schemas.openxmlformats.org/spreadsheetml/2006/main" count="45" uniqueCount="44">
  <si>
    <t>项次</t>
  </si>
  <si>
    <t>工程名称</t>
  </si>
  <si>
    <t>单位</t>
  </si>
  <si>
    <t>数量</t>
  </si>
  <si>
    <t>单价</t>
  </si>
  <si>
    <t>合计</t>
  </si>
  <si>
    <t>一</t>
  </si>
  <si>
    <t>二</t>
  </si>
  <si>
    <t>三</t>
  </si>
  <si>
    <t>备注</t>
    <phoneticPr fontId="1" type="noConversion"/>
  </si>
  <si>
    <t>m2</t>
    <phoneticPr fontId="1" type="noConversion"/>
  </si>
  <si>
    <t>五</t>
    <phoneticPr fontId="1" type="noConversion"/>
  </si>
  <si>
    <t>规格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</si>
  <si>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</si>
  <si>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</si>
  <si>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</si>
  <si>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四</t>
    <phoneticPr fontId="1" type="noConversion"/>
  </si>
  <si>
    <t>爱康国宾5号楼工程报价</t>
    <phoneticPr fontId="1" type="noConversion"/>
  </si>
  <si>
    <t>油漆工种</t>
    <phoneticPr fontId="1" type="noConversion"/>
  </si>
  <si>
    <t>装饰板</t>
    <phoneticPr fontId="1" type="noConversion"/>
  </si>
  <si>
    <t>张</t>
    <phoneticPr fontId="1" type="noConversion"/>
  </si>
  <si>
    <t>米</t>
    <phoneticPr fontId="1" type="noConversion"/>
  </si>
  <si>
    <t>张</t>
    <phoneticPr fontId="1" type="noConversion"/>
  </si>
  <si>
    <t>踢脚线</t>
    <phoneticPr fontId="1" type="noConversion"/>
  </si>
  <si>
    <t>电梯厅铝合金踢脚线</t>
    <phoneticPr fontId="1" type="noConversion"/>
  </si>
  <si>
    <t>门</t>
    <phoneticPr fontId="1" type="noConversion"/>
  </si>
  <si>
    <t>双</t>
    <phoneticPr fontId="1" type="noConversion"/>
  </si>
  <si>
    <t>卫生间</t>
    <phoneticPr fontId="1" type="noConversion"/>
  </si>
  <si>
    <t>个</t>
    <phoneticPr fontId="1" type="noConversion"/>
  </si>
  <si>
    <t>米</t>
    <phoneticPr fontId="1" type="noConversion"/>
  </si>
  <si>
    <t>六</t>
    <phoneticPr fontId="1" type="noConversion"/>
  </si>
  <si>
    <t>人工</t>
    <phoneticPr fontId="1" type="noConversion"/>
  </si>
  <si>
    <t>个</t>
    <phoneticPr fontId="1" type="noConversion"/>
  </si>
  <si>
    <t>税费：</t>
    <phoneticPr fontId="1" type="noConversion"/>
  </si>
  <si>
    <t>小计：</t>
    <phoneticPr fontId="1" type="noConversion"/>
  </si>
  <si>
    <t>总计：</t>
    <phoneticPr fontId="1" type="noConversion"/>
  </si>
  <si>
    <t>一对双开门（木门1800*2400）</t>
    <phoneticPr fontId="1" type="noConversion"/>
  </si>
  <si>
    <t>更换装饰板2400*1220</t>
    <phoneticPr fontId="1" type="noConversion"/>
  </si>
  <si>
    <t>墙面、顶面刮白及涂料（立邦漆）</t>
    <phoneticPr fontId="1" type="noConversion"/>
  </si>
  <si>
    <t>桌子喷黑漆（立邦漆）</t>
    <phoneticPr fontId="1" type="noConversion"/>
  </si>
  <si>
    <t>门皮（实木皮）</t>
    <phoneticPr fontId="1" type="noConversion"/>
  </si>
  <si>
    <t>4个电视柜、2个更衣柜</t>
    <phoneticPr fontId="1" type="noConversion"/>
  </si>
  <si>
    <t>项</t>
    <phoneticPr fontId="1" type="noConversion"/>
  </si>
  <si>
    <t>修补卫生间（换砖、填缝剂、平整）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</si>
</sst>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0.0%"/>
  </numFmts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4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8" fillId="3" borderId="18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/>
    </xf>
    <xf numFmtId="176" fontId="9" fillId="3" borderId="3" xfId="0" applyNumberFormat="1" applyFont="1" applyFill="1" applyBorder="1" applyAlignment="1">
      <alignment horizontal="center" vertical="center"/>
    </xf>
    <xf numFmtId="176" fontId="9" fillId="3" borderId="4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9" fillId="3" borderId="18" xfId="0" applyFont="1" applyFill="1" applyBorder="1">
      <alignment vertical="center"/>
    </xf>
    <xf numFmtId="0" fontId="11" fillId="2" borderId="17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2" borderId="18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177" fontId="10" fillId="2" borderId="23" xfId="0" applyNumberFormat="1" applyFont="1" applyFill="1" applyBorder="1" applyAlignment="1">
      <alignment horizontal="center" vertical="center"/>
    </xf>
    <xf numFmtId="176" fontId="10" fillId="2" borderId="24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6" fontId="10" fillId="2" borderId="20" xfId="0" applyNumberFormat="1" applyFont="1" applyFill="1" applyBorder="1" applyAlignment="1">
      <alignment horizontal="center" vertical="center"/>
    </xf>
    <xf numFmtId="176" fontId="10" fillId="2" borderId="21" xfId="0" applyNumberFormat="1" applyFont="1" applyFill="1" applyBorder="1" applyAlignment="1">
      <alignment horizontal="center" vertical="center"/>
    </xf>
    <xf numFmtId="176" fontId="10" fillId="2" borderId="2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tabSelected="1" topLeftCell="A7" zoomScaleNormal="100" workbookViewId="0">
      <selection activeCell="K17" sqref="K17"/>
    </sheetView>
  </sheetViews>
  <sheetFormatPr defaultColWidth="9" defaultRowHeight="16.5" x14ac:dyDescent="0.15"/>
  <cols>
    <col min="1" max="1" width="9" style="11"/>
    <col min="2" max="2" width="5.125" style="12" customWidth="1"/>
    <col min="3" max="3" width="41.125" style="13" customWidth="1"/>
    <col min="4" max="4" width="9" style="12"/>
    <col min="5" max="5" width="11.625" style="14" bestFit="1" customWidth="1"/>
    <col min="6" max="6" width="13.125" style="14" customWidth="1"/>
    <col min="7" max="7" width="13.5" style="14" customWidth="1"/>
    <col min="8" max="8" width="19.125" style="11" customWidth="1"/>
    <col min="9" max="16384" width="9" style="11"/>
  </cols>
  <sheetData>
    <row r="1" spans="2:8" ht="17.25" thickBot="1" x14ac:dyDescent="0.2"/>
    <row r="2" spans="2:8" ht="30" thickBot="1" x14ac:dyDescent="0.2">
      <c r="B2" s="50" t="s">
        <v>17</v>
      </c>
      <c r="C2" s="51"/>
      <c r="D2" s="51"/>
      <c r="E2" s="51"/>
      <c r="F2" s="51"/>
      <c r="G2" s="51"/>
      <c r="H2" s="52"/>
    </row>
    <row r="3" spans="2:8" ht="20.100000000000001" customHeight="1" x14ac:dyDescent="0.15">
      <c r="B3" s="15" t="s">
        <v>0</v>
      </c>
      <c r="C3" s="16" t="s">
        <v>1</v>
      </c>
      <c r="D3" s="17" t="s">
        <v>2</v>
      </c>
      <c r="E3" s="18" t="s">
        <v>3</v>
      </c>
      <c r="F3" s="18" t="s">
        <v>4</v>
      </c>
      <c r="G3" s="18" t="s">
        <v>5</v>
      </c>
      <c r="H3" s="19" t="s">
        <v>9</v>
      </c>
    </row>
    <row r="4" spans="2:8" ht="20.100000000000001" customHeight="1" x14ac:dyDescent="0.15">
      <c r="B4" s="20" t="s">
        <v>6</v>
      </c>
      <c r="C4" s="21" t="s">
        <v>18</v>
      </c>
      <c r="D4" s="22"/>
      <c r="E4" s="23"/>
      <c r="F4" s="23"/>
      <c r="G4" s="23"/>
      <c r="H4" s="24"/>
    </row>
    <row r="5" spans="2:8" ht="22.15" customHeight="1" x14ac:dyDescent="0.15">
      <c r="B5" s="25">
        <v>1</v>
      </c>
      <c r="C5" s="26" t="s">
        <v>38</v>
      </c>
      <c r="D5" s="22" t="s">
        <v>10</v>
      </c>
      <c r="E5" s="23">
        <v>900</v>
      </c>
      <c r="F5" s="23">
        <v>30</v>
      </c>
      <c r="G5" s="23">
        <f>F5*E5</f>
        <v>27000</v>
      </c>
      <c r="H5" s="24"/>
    </row>
    <row r="6" spans="2:8" ht="22.15" customHeight="1" x14ac:dyDescent="0.15">
      <c r="B6" s="25">
        <v>2</v>
      </c>
      <c r="C6" s="26" t="s">
        <v>39</v>
      </c>
      <c r="D6" s="22" t="s">
        <v>22</v>
      </c>
      <c r="E6" s="23">
        <v>3</v>
      </c>
      <c r="F6" s="23">
        <v>2000</v>
      </c>
      <c r="G6" s="23">
        <f>E6*F6</f>
        <v>6000</v>
      </c>
      <c r="H6" s="24"/>
    </row>
    <row r="7" spans="2:8" ht="20.100000000000001" customHeight="1" x14ac:dyDescent="0.15">
      <c r="B7" s="27"/>
      <c r="C7" s="28"/>
      <c r="D7" s="29"/>
      <c r="E7" s="30"/>
      <c r="F7" s="30"/>
      <c r="G7" s="30"/>
      <c r="H7" s="31">
        <f>G5+G6</f>
        <v>33000</v>
      </c>
    </row>
    <row r="8" spans="2:8" ht="20.100000000000001" customHeight="1" x14ac:dyDescent="0.15">
      <c r="B8" s="20" t="s">
        <v>7</v>
      </c>
      <c r="C8" s="21" t="s">
        <v>19</v>
      </c>
      <c r="D8" s="22"/>
      <c r="E8" s="23"/>
      <c r="F8" s="23"/>
      <c r="G8" s="23"/>
      <c r="H8" s="24"/>
    </row>
    <row r="9" spans="2:8" ht="20.100000000000001" customHeight="1" x14ac:dyDescent="0.15">
      <c r="B9" s="25">
        <v>1</v>
      </c>
      <c r="C9" s="26" t="s">
        <v>37</v>
      </c>
      <c r="D9" s="22" t="s">
        <v>20</v>
      </c>
      <c r="E9" s="32">
        <v>1</v>
      </c>
      <c r="F9" s="23">
        <v>500</v>
      </c>
      <c r="G9" s="23">
        <f>F9*E9</f>
        <v>500</v>
      </c>
      <c r="H9" s="24"/>
    </row>
    <row r="10" spans="2:8" ht="20.100000000000001" customHeight="1" x14ac:dyDescent="0.15">
      <c r="B10" s="25">
        <v>2</v>
      </c>
      <c r="C10" s="26" t="s">
        <v>40</v>
      </c>
      <c r="D10" s="22" t="s">
        <v>21</v>
      </c>
      <c r="E10" s="32">
        <v>50</v>
      </c>
      <c r="F10" s="23">
        <v>28</v>
      </c>
      <c r="G10" s="23">
        <f>E10*F10</f>
        <v>1400</v>
      </c>
      <c r="H10" s="24"/>
    </row>
    <row r="11" spans="2:8" ht="20.100000000000001" customHeight="1" x14ac:dyDescent="0.15">
      <c r="B11" s="25">
        <v>3</v>
      </c>
      <c r="C11" s="26" t="s">
        <v>41</v>
      </c>
      <c r="D11" s="22" t="s">
        <v>42</v>
      </c>
      <c r="E11" s="32">
        <v>1</v>
      </c>
      <c r="F11" s="23">
        <v>5000</v>
      </c>
      <c r="G11" s="23">
        <f>E11*F11</f>
        <v>5000</v>
      </c>
      <c r="H11" s="24"/>
    </row>
    <row r="12" spans="2:8" ht="20.100000000000001" customHeight="1" x14ac:dyDescent="0.15">
      <c r="B12" s="20"/>
      <c r="C12" s="26"/>
      <c r="D12" s="22"/>
      <c r="E12" s="23"/>
      <c r="F12" s="23"/>
      <c r="G12" s="23"/>
      <c r="H12" s="24"/>
    </row>
    <row r="13" spans="2:8" ht="20.100000000000001" customHeight="1" x14ac:dyDescent="0.15">
      <c r="B13" s="27"/>
      <c r="C13" s="28"/>
      <c r="D13" s="29"/>
      <c r="E13" s="30"/>
      <c r="F13" s="30"/>
      <c r="G13" s="33"/>
      <c r="H13" s="31">
        <f>SUM(G8:G12)</f>
        <v>6900</v>
      </c>
    </row>
    <row r="14" spans="2:8" ht="20.100000000000001" customHeight="1" x14ac:dyDescent="0.15">
      <c r="B14" s="20" t="s">
        <v>8</v>
      </c>
      <c r="C14" s="21" t="s">
        <v>23</v>
      </c>
      <c r="D14" s="22"/>
      <c r="E14" s="23"/>
      <c r="F14" s="23"/>
      <c r="G14" s="23"/>
      <c r="H14" s="24"/>
    </row>
    <row r="15" spans="2:8" ht="20.100000000000001" customHeight="1" x14ac:dyDescent="0.15">
      <c r="B15" s="25">
        <v>1</v>
      </c>
      <c r="C15" s="26" t="s">
        <v>24</v>
      </c>
      <c r="D15" s="22" t="s">
        <v>29</v>
      </c>
      <c r="E15" s="23">
        <v>40</v>
      </c>
      <c r="F15" s="23">
        <v>30</v>
      </c>
      <c r="G15" s="23">
        <f t="shared" ref="G15" si="0">F15*E15</f>
        <v>1200</v>
      </c>
      <c r="H15" s="24"/>
    </row>
    <row r="16" spans="2:8" ht="20.100000000000001" customHeight="1" x14ac:dyDescent="0.15">
      <c r="B16" s="25"/>
      <c r="C16" s="26"/>
      <c r="D16" s="22"/>
      <c r="E16" s="23"/>
      <c r="F16" s="23"/>
      <c r="G16" s="23"/>
      <c r="H16" s="24"/>
    </row>
    <row r="17" spans="2:8" ht="20.100000000000001" customHeight="1" x14ac:dyDescent="0.15">
      <c r="B17" s="27"/>
      <c r="C17" s="28"/>
      <c r="D17" s="29"/>
      <c r="E17" s="30"/>
      <c r="F17" s="30"/>
      <c r="G17" s="33"/>
      <c r="H17" s="31">
        <f>SUM(G14:G16)</f>
        <v>1200</v>
      </c>
    </row>
    <row r="18" spans="2:8" ht="21.6" customHeight="1" x14ac:dyDescent="0.15">
      <c r="B18" s="20" t="s">
        <v>16</v>
      </c>
      <c r="C18" s="21" t="s">
        <v>25</v>
      </c>
      <c r="D18" s="22"/>
      <c r="E18" s="23"/>
      <c r="F18" s="23"/>
      <c r="G18" s="23"/>
      <c r="H18" s="24"/>
    </row>
    <row r="19" spans="2:8" ht="20.100000000000001" customHeight="1" x14ac:dyDescent="0.15">
      <c r="B19" s="25">
        <v>1</v>
      </c>
      <c r="C19" s="26" t="s">
        <v>36</v>
      </c>
      <c r="D19" s="22" t="s">
        <v>26</v>
      </c>
      <c r="E19" s="23">
        <v>1</v>
      </c>
      <c r="F19" s="23">
        <v>3000</v>
      </c>
      <c r="G19" s="23">
        <f>F19*E19</f>
        <v>3000</v>
      </c>
      <c r="H19" s="24"/>
    </row>
    <row r="20" spans="2:8" ht="20.100000000000001" customHeight="1" x14ac:dyDescent="0.15">
      <c r="B20" s="25"/>
      <c r="C20" s="26"/>
      <c r="D20" s="22"/>
      <c r="E20" s="23"/>
      <c r="F20" s="23"/>
      <c r="G20" s="23"/>
      <c r="H20" s="24"/>
    </row>
    <row r="21" spans="2:8" ht="20.100000000000001" customHeight="1" x14ac:dyDescent="0.15">
      <c r="B21" s="27"/>
      <c r="C21" s="28"/>
      <c r="D21" s="29"/>
      <c r="E21" s="30"/>
      <c r="F21" s="30"/>
      <c r="G21" s="33"/>
      <c r="H21" s="31">
        <f>SUM(G19:G20)</f>
        <v>3000</v>
      </c>
    </row>
    <row r="22" spans="2:8" ht="20.100000000000001" customHeight="1" x14ac:dyDescent="0.15">
      <c r="B22" s="20" t="s">
        <v>11</v>
      </c>
      <c r="C22" s="21" t="s">
        <v>27</v>
      </c>
      <c r="D22" s="22"/>
      <c r="E22" s="23"/>
      <c r="F22" s="23"/>
      <c r="G22" s="23"/>
      <c r="H22" s="24"/>
    </row>
    <row r="23" spans="2:8" ht="20.100000000000001" customHeight="1" x14ac:dyDescent="0.15">
      <c r="B23" s="25">
        <v>1</v>
      </c>
      <c r="C23" s="26" t="s">
        <v>43</v>
      </c>
      <c r="D23" s="22" t="s">
        <v>28</v>
      </c>
      <c r="E23" s="23">
        <v>4</v>
      </c>
      <c r="F23" s="23">
        <v>1500</v>
      </c>
      <c r="G23" s="23">
        <f>F23*E23</f>
        <v>6000</v>
      </c>
      <c r="H23" s="24"/>
    </row>
    <row r="24" spans="2:8" ht="20.100000000000001" customHeight="1" x14ac:dyDescent="0.15">
      <c r="B24" s="27"/>
      <c r="C24" s="28"/>
      <c r="D24" s="29"/>
      <c r="E24" s="30"/>
      <c r="F24" s="30"/>
      <c r="G24" s="33"/>
      <c r="H24" s="31">
        <f>SUM(G23:G23)</f>
        <v>6000</v>
      </c>
    </row>
    <row r="25" spans="2:8" ht="21.6" customHeight="1" x14ac:dyDescent="0.15">
      <c r="B25" s="20" t="s">
        <v>30</v>
      </c>
      <c r="C25" s="21" t="s">
        <v>31</v>
      </c>
      <c r="D25" s="22"/>
      <c r="E25" s="23"/>
      <c r="F25" s="23"/>
      <c r="G25" s="23"/>
      <c r="H25" s="24"/>
    </row>
    <row r="26" spans="2:8" ht="20.100000000000001" customHeight="1" x14ac:dyDescent="0.15">
      <c r="B26" s="25">
        <v>1</v>
      </c>
      <c r="C26" s="26" t="s">
        <v>31</v>
      </c>
      <c r="D26" s="22" t="s">
        <v>32</v>
      </c>
      <c r="E26" s="23">
        <v>28</v>
      </c>
      <c r="F26" s="23">
        <v>360</v>
      </c>
      <c r="G26" s="23">
        <f>F26*E26</f>
        <v>10080</v>
      </c>
      <c r="H26" s="24"/>
    </row>
    <row r="27" spans="2:8" ht="20.100000000000001" customHeight="1" x14ac:dyDescent="0.15">
      <c r="B27" s="25"/>
      <c r="C27" s="26"/>
      <c r="D27" s="22"/>
      <c r="E27" s="23"/>
      <c r="F27" s="23"/>
      <c r="G27" s="23"/>
      <c r="H27" s="24"/>
    </row>
    <row r="28" spans="2:8" ht="20.100000000000001" customHeight="1" x14ac:dyDescent="0.15">
      <c r="B28" s="27"/>
      <c r="C28" s="28"/>
      <c r="D28" s="29"/>
      <c r="E28" s="30"/>
      <c r="F28" s="30"/>
      <c r="G28" s="33"/>
      <c r="H28" s="31">
        <f>SUM(G26:G27)</f>
        <v>10080</v>
      </c>
    </row>
    <row r="29" spans="2:8" ht="20.100000000000001" customHeight="1" x14ac:dyDescent="0.15">
      <c r="B29" s="27"/>
      <c r="C29" s="34"/>
      <c r="D29" s="35"/>
      <c r="E29" s="36"/>
      <c r="F29" s="37"/>
      <c r="G29" s="38"/>
      <c r="H29" s="39"/>
    </row>
    <row r="30" spans="2:8" ht="22.5" customHeight="1" x14ac:dyDescent="0.15">
      <c r="B30" s="40"/>
      <c r="C30" s="47" t="s">
        <v>34</v>
      </c>
      <c r="D30" s="48"/>
      <c r="E30" s="48"/>
      <c r="F30" s="49"/>
      <c r="G30" s="41"/>
      <c r="H30" s="42">
        <f>SUM(H5:H29)</f>
        <v>60180</v>
      </c>
    </row>
    <row r="31" spans="2:8" ht="22.5" customHeight="1" x14ac:dyDescent="0.15">
      <c r="B31" s="40"/>
      <c r="C31" s="47" t="s">
        <v>33</v>
      </c>
      <c r="D31" s="48"/>
      <c r="E31" s="48"/>
      <c r="F31" s="49"/>
      <c r="G31" s="43">
        <v>0.13500000000000001</v>
      </c>
      <c r="H31" s="42">
        <f>H30*0.135</f>
        <v>8124.3</v>
      </c>
    </row>
    <row r="32" spans="2:8" ht="22.5" customHeight="1" thickBot="1" x14ac:dyDescent="0.2">
      <c r="B32" s="44"/>
      <c r="C32" s="53" t="s">
        <v>35</v>
      </c>
      <c r="D32" s="54"/>
      <c r="E32" s="54"/>
      <c r="F32" s="55"/>
      <c r="G32" s="45"/>
      <c r="H32" s="46">
        <f>H30+H31</f>
        <v>68304.3</v>
      </c>
    </row>
  </sheetData>
  <mergeCells count="4">
    <mergeCell ref="C30:F30"/>
    <mergeCell ref="B2:H2"/>
    <mergeCell ref="C31:F31"/>
    <mergeCell ref="C32:F32"/>
  </mergeCells>
  <phoneticPr fontId="1" type="noConversion"/>
  <pageMargins left="0.75" right="0.75" top="1" bottom="1" header="0.51180555555555596" footer="0.51180555555555596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workbookViewId="0">
      <selection activeCell="C11" sqref="C11"/>
    </sheetView>
  </sheetViews>
  <sheetFormatPr defaultRowHeight="13.5" x14ac:dyDescent="0.15"/>
  <sheetData>
    <row r="2" spans="2:10" ht="14.25" thickBot="1" x14ac:dyDescent="0.2"/>
    <row r="3" spans="2:10" ht="14.25" thickBot="1" x14ac:dyDescent="0.2">
      <c r="B3" s="10"/>
      <c r="C3" s="56" t="s">
        <v>12</v>
      </c>
      <c r="D3" s="57"/>
      <c r="E3" s="7"/>
      <c r="F3" s="8"/>
      <c r="G3" s="9"/>
      <c r="H3" s="8"/>
      <c r="I3" s="9"/>
      <c r="J3" s="8"/>
    </row>
    <row r="4" spans="2:10" ht="14.25" thickBot="1" x14ac:dyDescent="0.2">
      <c r="B4" s="5" t="s">
        <v>13</v>
      </c>
      <c r="C4" s="56"/>
      <c r="D4" s="57"/>
      <c r="E4" s="1"/>
      <c r="F4" s="2"/>
      <c r="G4" s="1"/>
      <c r="H4" s="2"/>
      <c r="I4" s="1"/>
      <c r="J4" s="2"/>
    </row>
    <row r="5" spans="2:10" ht="14.25" thickBot="1" x14ac:dyDescent="0.2">
      <c r="B5" s="10" t="s">
        <v>14</v>
      </c>
      <c r="C5" s="9"/>
      <c r="D5" s="8"/>
      <c r="E5" s="9"/>
      <c r="F5" s="8"/>
      <c r="G5" s="9"/>
      <c r="H5" s="8"/>
      <c r="I5" s="9"/>
      <c r="J5" s="8"/>
    </row>
    <row r="6" spans="2:10" ht="14.25" thickBot="1" x14ac:dyDescent="0.2">
      <c r="B6" s="6" t="s">
        <v>15</v>
      </c>
      <c r="C6" s="3"/>
      <c r="D6" s="4"/>
      <c r="E6" s="3"/>
      <c r="F6" s="4"/>
      <c r="G6" s="3"/>
      <c r="H6" s="4"/>
      <c r="I6" s="3"/>
      <c r="J6" s="4"/>
    </row>
  </sheetData>
  <mergeCells count="2">
    <mergeCell ref="C3:D3"/>
    <mergeCell ref="C4:D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工程报价</vt:lpstr>
      <vt:lpstr>Sheet1</vt:lpstr>
      <vt:lpstr>工程报价!Print_Area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1</cp:lastModifiedBy>
  <cp:lastPrinted>2018-09-11T06:49:00Z</cp:lastPrinted>
  <dcterms:created xsi:type="dcterms:W3CDTF">2018-02-27T11:14:00Z</dcterms:created>
  <dcterms:modified xsi:type="dcterms:W3CDTF">2018-11-05T03:32:00Z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